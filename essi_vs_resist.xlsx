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co_lenovo_2022\MACO laptop 2020\fcien 2025\posible_proyecto\rec_Fede\febrero_2026\prueba_codex_ESSIvsRes\"/>
    </mc:Choice>
  </mc:AlternateContent>
  <bookViews>
    <workbookView xWindow="0" yWindow="0" windowWidth="23040" windowHeight="9072"/>
  </bookViews>
  <sheets>
    <sheet name="Supp. Mat. 1" sheetId="1" r:id="rId1"/>
  </sheets>
  <definedNames>
    <definedName name="_xlnm._FilterDatabase" localSheetId="0" hidden="1">'Supp. Mat. 1'!$A$1:$AL$33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" i="1" l="1"/>
  <c r="J27" i="1" l="1"/>
  <c r="J25" i="1"/>
  <c r="J3" i="1"/>
  <c r="J13" i="1"/>
  <c r="J10" i="1"/>
  <c r="J12" i="1"/>
  <c r="J30" i="1"/>
  <c r="J31" i="1"/>
  <c r="J14" i="1"/>
  <c r="I21" i="1"/>
  <c r="E21" i="1" s="1"/>
  <c r="I22" i="1"/>
  <c r="E22" i="1" s="1"/>
  <c r="I23" i="1"/>
  <c r="E23" i="1" s="1"/>
  <c r="I19" i="1"/>
  <c r="E19" i="1" s="1"/>
  <c r="I5" i="1"/>
  <c r="L5" i="1" s="1"/>
  <c r="I24" i="1"/>
  <c r="L24" i="1" s="1"/>
  <c r="I18" i="1"/>
  <c r="L18" i="1" s="1"/>
  <c r="I6" i="1"/>
  <c r="L6" i="1" s="1"/>
  <c r="I4" i="1"/>
  <c r="E4" i="1" s="1"/>
  <c r="I20" i="1"/>
  <c r="L20" i="1" s="1"/>
  <c r="I27" i="1"/>
  <c r="E27" i="1" s="1"/>
  <c r="I25" i="1"/>
  <c r="L25" i="1" s="1"/>
  <c r="I3" i="1"/>
  <c r="E3" i="1" s="1"/>
  <c r="I8" i="1"/>
  <c r="L8" i="1" s="1"/>
  <c r="I28" i="1"/>
  <c r="E28" i="1" s="1"/>
  <c r="I7" i="1"/>
  <c r="J7" i="1" s="1"/>
  <c r="I26" i="1"/>
  <c r="E26" i="1" s="1"/>
  <c r="I29" i="1"/>
  <c r="E29" i="1" s="1"/>
  <c r="I9" i="1"/>
  <c r="E9" i="1" s="1"/>
  <c r="I13" i="1"/>
  <c r="E13" i="1" s="1"/>
  <c r="I10" i="1"/>
  <c r="E10" i="1" s="1"/>
  <c r="I11" i="1"/>
  <c r="L11" i="1" s="1"/>
  <c r="I12" i="1"/>
  <c r="L12" i="1" s="1"/>
  <c r="I30" i="1"/>
  <c r="L30" i="1" s="1"/>
  <c r="I31" i="1"/>
  <c r="L31" i="1" s="1"/>
  <c r="I15" i="1"/>
  <c r="L15" i="1" s="1"/>
  <c r="I17" i="1"/>
  <c r="L17" i="1" s="1"/>
  <c r="I32" i="1"/>
  <c r="L32" i="1" s="1"/>
  <c r="I33" i="1"/>
  <c r="E33" i="1" s="1"/>
  <c r="I16" i="1"/>
  <c r="E16" i="1" s="1"/>
  <c r="I14" i="1"/>
  <c r="L14" i="1" s="1"/>
  <c r="J2" i="1"/>
  <c r="J20" i="1" l="1"/>
  <c r="J4" i="1"/>
  <c r="J16" i="1"/>
  <c r="J18" i="1"/>
  <c r="J33" i="1"/>
  <c r="J24" i="1"/>
  <c r="J6" i="1"/>
  <c r="J32" i="1"/>
  <c r="J5" i="1"/>
  <c r="J17" i="1"/>
  <c r="J19" i="1"/>
  <c r="J15" i="1"/>
  <c r="E6" i="1"/>
  <c r="J11" i="1"/>
  <c r="J22" i="1"/>
  <c r="L28" i="1"/>
  <c r="E12" i="1"/>
  <c r="J29" i="1"/>
  <c r="E7" i="1"/>
  <c r="J28" i="1"/>
  <c r="E20" i="1"/>
  <c r="J8" i="1"/>
  <c r="E32" i="1"/>
  <c r="L16" i="1"/>
  <c r="E17" i="1"/>
  <c r="E2" i="1"/>
  <c r="E8" i="1"/>
  <c r="L3" i="1"/>
  <c r="E31" i="1"/>
  <c r="E30" i="1"/>
  <c r="E5" i="1"/>
  <c r="L33" i="1"/>
  <c r="E25" i="1"/>
  <c r="L27" i="1"/>
  <c r="E15" i="1"/>
  <c r="E11" i="1"/>
  <c r="J9" i="1"/>
  <c r="J23" i="1"/>
  <c r="L13" i="1"/>
  <c r="L19" i="1"/>
  <c r="L7" i="1"/>
  <c r="E14" i="1"/>
  <c r="L4" i="1"/>
  <c r="E18" i="1"/>
  <c r="E24" i="1"/>
  <c r="L23" i="1"/>
  <c r="J26" i="1"/>
  <c r="J21" i="1"/>
  <c r="L29" i="1"/>
  <c r="L22" i="1"/>
  <c r="L2" i="1"/>
  <c r="L10" i="1"/>
  <c r="L9" i="1"/>
  <c r="L26" i="1"/>
  <c r="L21" i="1"/>
</calcChain>
</file>

<file path=xl/sharedStrings.xml><?xml version="1.0" encoding="utf-8"?>
<sst xmlns="http://schemas.openxmlformats.org/spreadsheetml/2006/main" count="136" uniqueCount="81">
  <si>
    <t>G04</t>
  </si>
  <si>
    <t>Basalto</t>
  </si>
  <si>
    <t>G12</t>
  </si>
  <si>
    <t>G05</t>
  </si>
  <si>
    <t>G03</t>
  </si>
  <si>
    <t>G10</t>
  </si>
  <si>
    <t>G11</t>
  </si>
  <si>
    <t>G09</t>
  </si>
  <si>
    <t>H11</t>
  </si>
  <si>
    <t>H10</t>
  </si>
  <si>
    <t>H12</t>
  </si>
  <si>
    <t>H14</t>
  </si>
  <si>
    <t>H15</t>
  </si>
  <si>
    <t>H16</t>
  </si>
  <si>
    <t>H13</t>
  </si>
  <si>
    <t>I10</t>
  </si>
  <si>
    <t>I09</t>
  </si>
  <si>
    <t>I11</t>
  </si>
  <si>
    <t>R11</t>
  </si>
  <si>
    <t>R19</t>
  </si>
  <si>
    <t>D04</t>
  </si>
  <si>
    <t>Sierras</t>
  </si>
  <si>
    <t>D08</t>
  </si>
  <si>
    <t>D05</t>
  </si>
  <si>
    <t>D06</t>
  </si>
  <si>
    <t>O12</t>
  </si>
  <si>
    <t>P11</t>
  </si>
  <si>
    <t>P12</t>
  </si>
  <si>
    <t>P05</t>
  </si>
  <si>
    <t>P06</t>
  </si>
  <si>
    <t>P07</t>
  </si>
  <si>
    <t>P14</t>
  </si>
  <si>
    <t>B09</t>
  </si>
  <si>
    <t>B04</t>
  </si>
  <si>
    <t>Region</t>
  </si>
  <si>
    <t>ANPP 2005-2006</t>
  </si>
  <si>
    <t>ANPP 2006-2007</t>
  </si>
  <si>
    <t>ANPP 2007-2008</t>
  </si>
  <si>
    <t>ANPP 2008-2009</t>
  </si>
  <si>
    <t>ANPP 2009-2010</t>
  </si>
  <si>
    <t>ANPP 2011-2012</t>
  </si>
  <si>
    <t>ANPP 2010-2011</t>
  </si>
  <si>
    <t>NSP 2005-2006</t>
  </si>
  <si>
    <t>NSP 2006-2007</t>
  </si>
  <si>
    <t>NSP 2011-2012</t>
  </si>
  <si>
    <t>NSP 2010-2011</t>
  </si>
  <si>
    <t>NSP 2009-2010</t>
  </si>
  <si>
    <t>NSP 2008-2009</t>
  </si>
  <si>
    <t>NSP2007-2008</t>
  </si>
  <si>
    <t>N/A</t>
  </si>
  <si>
    <t>Department</t>
  </si>
  <si>
    <t>Artigas</t>
  </si>
  <si>
    <t>Salto</t>
  </si>
  <si>
    <t>Paysandu</t>
  </si>
  <si>
    <t>Tacuarembo</t>
  </si>
  <si>
    <t>Treinta y Tres</t>
  </si>
  <si>
    <t>Florida</t>
  </si>
  <si>
    <t>Lavalleja</t>
  </si>
  <si>
    <t>Maldonado</t>
  </si>
  <si>
    <t>PPT 2003-2004</t>
  </si>
  <si>
    <t>PPT 2004-2005</t>
  </si>
  <si>
    <t>PPT 2005-2006</t>
  </si>
  <si>
    <t>PPT 2006-2007</t>
  </si>
  <si>
    <t>PPT 2007-2008</t>
  </si>
  <si>
    <t>PPT 2008-2009</t>
  </si>
  <si>
    <t>PPT 2009-2010</t>
  </si>
  <si>
    <t>PPT 2010-2011</t>
  </si>
  <si>
    <t>PPT 2011-2012</t>
  </si>
  <si>
    <t>TEf 2005-2006</t>
  </si>
  <si>
    <t>TEf 2006-2007</t>
  </si>
  <si>
    <t>TEf 2007-2008</t>
  </si>
  <si>
    <t>TEf 2008-2009</t>
  </si>
  <si>
    <t>TEf 2009-2010</t>
  </si>
  <si>
    <t>TEf 2010-2011</t>
  </si>
  <si>
    <t>TEf 2011-2012</t>
  </si>
  <si>
    <t>SP</t>
  </si>
  <si>
    <t>Yn</t>
  </si>
  <si>
    <t>omega resistencia</t>
  </si>
  <si>
    <t>recuperacion</t>
  </si>
  <si>
    <t>resist Tomma</t>
  </si>
  <si>
    <t>iose2005-08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</si>
</sst>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164" fontId="0" fillId="0" borderId="5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165" fontId="0" fillId="0" borderId="0" xfId="0" applyNumberFormat="1" applyBorder="1" applyAlignment="1">
      <alignment horizontal="center"/>
    </xf>
    <xf numFmtId="0" fontId="1" fillId="0" borderId="7" xfId="0" applyFont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3"/>
  <sheetViews>
    <sheetView tabSelected="1" topLeftCell="AE1" workbookViewId="0">
      <selection activeCell="AP13" sqref="AP13"/>
    </sheetView>
  </sheetViews>
  <sheetFormatPr baseColWidth="10" defaultRowHeight="14.4" x14ac:dyDescent="0.3"/>
  <cols>
    <col min="1" max="1" width="18.6640625" bestFit="1" customWidth="1"/>
    <col min="2" max="2" width="14.5546875" customWidth="1"/>
    <col min="6" max="8" width="15.109375" bestFit="1" customWidth="1"/>
    <col min="9" max="10" width="15.109375" customWidth="1"/>
    <col min="11" max="11" width="15.109375" bestFit="1" customWidth="1"/>
    <col min="12" max="12" width="15.109375" customWidth="1"/>
    <col min="13" max="15" width="15.109375" bestFit="1" customWidth="1"/>
    <col min="16" max="17" width="13.6640625" bestFit="1" customWidth="1"/>
    <col min="18" max="18" width="13.33203125" bestFit="1" customWidth="1"/>
    <col min="19" max="22" width="13.6640625" bestFit="1" customWidth="1"/>
    <col min="23" max="29" width="12.88671875" bestFit="1" customWidth="1"/>
    <col min="30" max="38" width="13.44140625" bestFit="1" customWidth="1"/>
  </cols>
  <sheetData>
    <row r="1" spans="1:38" ht="29.25" customHeight="1" thickBot="1" x14ac:dyDescent="0.35">
      <c r="A1" s="7" t="s">
        <v>75</v>
      </c>
      <c r="B1" s="8" t="s">
        <v>50</v>
      </c>
      <c r="C1" s="11" t="s">
        <v>34</v>
      </c>
      <c r="D1" s="27" t="s">
        <v>80</v>
      </c>
      <c r="E1" s="27" t="s">
        <v>79</v>
      </c>
      <c r="F1" s="9" t="s">
        <v>35</v>
      </c>
      <c r="G1" s="10" t="s">
        <v>36</v>
      </c>
      <c r="H1" s="10" t="s">
        <v>37</v>
      </c>
      <c r="I1" s="26" t="s">
        <v>76</v>
      </c>
      <c r="J1" s="26" t="s">
        <v>77</v>
      </c>
      <c r="K1" s="10" t="s">
        <v>38</v>
      </c>
      <c r="L1" s="26" t="s">
        <v>78</v>
      </c>
      <c r="M1" s="10" t="s">
        <v>39</v>
      </c>
      <c r="N1" s="10" t="s">
        <v>41</v>
      </c>
      <c r="O1" s="10" t="s">
        <v>40</v>
      </c>
      <c r="P1" s="9" t="s">
        <v>42</v>
      </c>
      <c r="Q1" s="10" t="s">
        <v>43</v>
      </c>
      <c r="R1" s="10" t="s">
        <v>48</v>
      </c>
      <c r="S1" s="10" t="s">
        <v>47</v>
      </c>
      <c r="T1" s="10" t="s">
        <v>46</v>
      </c>
      <c r="U1" s="10" t="s">
        <v>45</v>
      </c>
      <c r="V1" s="10" t="s">
        <v>44</v>
      </c>
      <c r="W1" s="9" t="s">
        <v>68</v>
      </c>
      <c r="X1" s="10" t="s">
        <v>69</v>
      </c>
      <c r="Y1" s="10" t="s">
        <v>70</v>
      </c>
      <c r="Z1" s="10" t="s">
        <v>71</v>
      </c>
      <c r="AA1" s="10" t="s">
        <v>72</v>
      </c>
      <c r="AB1" s="10" t="s">
        <v>73</v>
      </c>
      <c r="AC1" s="10" t="s">
        <v>74</v>
      </c>
      <c r="AD1" s="7" t="s">
        <v>59</v>
      </c>
      <c r="AE1" s="8" t="s">
        <v>60</v>
      </c>
      <c r="AF1" s="8" t="s">
        <v>61</v>
      </c>
      <c r="AG1" s="8" t="s">
        <v>62</v>
      </c>
      <c r="AH1" s="8" t="s">
        <v>63</v>
      </c>
      <c r="AI1" s="8" t="s">
        <v>64</v>
      </c>
      <c r="AJ1" s="8" t="s">
        <v>65</v>
      </c>
      <c r="AK1" s="8" t="s">
        <v>66</v>
      </c>
      <c r="AL1" s="11" t="s">
        <v>67</v>
      </c>
    </row>
    <row r="2" spans="1:38" ht="15" thickTop="1" x14ac:dyDescent="0.3">
      <c r="A2" s="12" t="s">
        <v>5</v>
      </c>
      <c r="B2" s="13" t="s">
        <v>51</v>
      </c>
      <c r="C2" s="1" t="s">
        <v>1</v>
      </c>
      <c r="D2" s="1">
        <v>0.58840610177786201</v>
      </c>
      <c r="E2" s="1">
        <f t="shared" ref="E2:E33" si="0">K2/I2</f>
        <v>0.8524200234903031</v>
      </c>
      <c r="F2" s="3">
        <v>56541.842872917208</v>
      </c>
      <c r="G2" s="2">
        <v>66102.192858677052</v>
      </c>
      <c r="H2" s="2">
        <v>54507.554845894309</v>
      </c>
      <c r="I2" s="2">
        <f>AVERAGE(F2:H2)</f>
        <v>59050.53019249619</v>
      </c>
      <c r="J2" s="2">
        <f t="shared" ref="J2:J33" si="1">I2/ABS(K2-I2)</f>
        <v>6.7759869844829108</v>
      </c>
      <c r="K2" s="2">
        <v>50335.854333802454</v>
      </c>
      <c r="L2" s="2">
        <f t="shared" ref="L2:L33" si="2">ABS(K2-I2)/(M2-I2)</f>
        <v>0.91910449136776029</v>
      </c>
      <c r="M2" s="2">
        <v>68532.233242086382</v>
      </c>
      <c r="N2" s="2">
        <v>52394.951347103102</v>
      </c>
      <c r="O2" s="2">
        <v>61346.69213544669</v>
      </c>
      <c r="P2" s="3">
        <v>748.61091437861364</v>
      </c>
      <c r="Q2" s="2">
        <v>774.13147987245168</v>
      </c>
      <c r="R2" s="2">
        <v>590.82095256215712</v>
      </c>
      <c r="S2" s="2">
        <v>820.67412347217544</v>
      </c>
      <c r="T2" s="2">
        <v>628.21467565586488</v>
      </c>
      <c r="U2" s="2">
        <v>693.60444359126461</v>
      </c>
      <c r="V2" s="2">
        <v>719.63804529968115</v>
      </c>
      <c r="W2" s="19">
        <v>1.3239945434059921E-2</v>
      </c>
      <c r="X2" s="20">
        <v>1.1711131603871347E-2</v>
      </c>
      <c r="Y2" s="20">
        <v>1.0839248875363187E-2</v>
      </c>
      <c r="Z2" s="20">
        <v>1.6303967307873056E-2</v>
      </c>
      <c r="AA2" s="20">
        <v>9.1667036945480927E-3</v>
      </c>
      <c r="AB2" s="20">
        <v>1.3238001482171692E-2</v>
      </c>
      <c r="AC2" s="20">
        <v>1.17306739817495E-2</v>
      </c>
      <c r="AD2" s="3">
        <v>1187.9430541992199</v>
      </c>
      <c r="AE2" s="2">
        <v>1366.1653442382801</v>
      </c>
      <c r="AF2" s="2">
        <v>1172.46057128906</v>
      </c>
      <c r="AG2" s="2">
        <v>1558.07531738281</v>
      </c>
      <c r="AH2" s="2">
        <v>1182.1889038085901</v>
      </c>
      <c r="AI2" s="2">
        <v>1236.2839965820301</v>
      </c>
      <c r="AJ2" s="2">
        <v>2063.0941162109398</v>
      </c>
      <c r="AK2" s="2">
        <v>1051.0241088867199</v>
      </c>
      <c r="AL2" s="14">
        <v>1091.64953613281</v>
      </c>
    </row>
    <row r="3" spans="1:38" x14ac:dyDescent="0.3">
      <c r="A3" s="12" t="s">
        <v>0</v>
      </c>
      <c r="B3" s="13" t="s">
        <v>51</v>
      </c>
      <c r="C3" s="1" t="s">
        <v>1</v>
      </c>
      <c r="D3" s="1">
        <v>0.61411185483696296</v>
      </c>
      <c r="E3" s="1">
        <f t="shared" si="0"/>
        <v>0.8853644657281009</v>
      </c>
      <c r="F3" s="3">
        <v>58797.088929614605</v>
      </c>
      <c r="G3" s="2">
        <v>71254.957379764557</v>
      </c>
      <c r="H3" s="2">
        <v>60517.390544422095</v>
      </c>
      <c r="I3" s="2">
        <f t="shared" ref="I3:I33" si="3">AVERAGE(F3:H3)</f>
        <v>63523.145617933747</v>
      </c>
      <c r="J3" s="2">
        <f t="shared" si="1"/>
        <v>8.7232986381704603</v>
      </c>
      <c r="K3" s="2">
        <v>56241.13588139027</v>
      </c>
      <c r="L3" s="2">
        <f t="shared" si="2"/>
        <v>1.4535538661887168</v>
      </c>
      <c r="M3" s="2">
        <v>68532.942575536174</v>
      </c>
      <c r="N3" s="2">
        <v>57411.363184767426</v>
      </c>
      <c r="O3" s="2">
        <v>61946.619443822325</v>
      </c>
      <c r="P3" s="3">
        <v>968.98369742881914</v>
      </c>
      <c r="Q3" s="2">
        <v>664.65007848925757</v>
      </c>
      <c r="R3" s="2">
        <v>603.81166496900642</v>
      </c>
      <c r="S3" s="2">
        <v>838.23200833608848</v>
      </c>
      <c r="T3" s="2">
        <v>702.7373946485742</v>
      </c>
      <c r="U3" s="2">
        <v>645.68229932765553</v>
      </c>
      <c r="V3" s="2">
        <v>810.25680126478437</v>
      </c>
      <c r="W3" s="19">
        <v>1.6480130480418506E-2</v>
      </c>
      <c r="X3" s="20">
        <v>9.3277731533386501E-3</v>
      </c>
      <c r="Y3" s="20">
        <v>9.9774900989127325E-3</v>
      </c>
      <c r="Z3" s="20">
        <v>1.4904251046847235E-2</v>
      </c>
      <c r="AA3" s="20">
        <v>1.0254008776494976E-2</v>
      </c>
      <c r="AB3" s="20">
        <v>1.1246594114995167E-2</v>
      </c>
      <c r="AC3" s="20">
        <v>1.3079919591085738E-2</v>
      </c>
      <c r="AD3" s="3">
        <v>1256.6200561523401</v>
      </c>
      <c r="AE3" s="2">
        <v>1429.1858520507801</v>
      </c>
      <c r="AF3" s="2">
        <v>1179.23876953125</v>
      </c>
      <c r="AG3" s="2">
        <v>1613.5518188476599</v>
      </c>
      <c r="AH3" s="2">
        <v>1252.54370117188</v>
      </c>
      <c r="AI3" s="2">
        <v>1270.6345825195301</v>
      </c>
      <c r="AJ3" s="2">
        <v>2100.6083984375</v>
      </c>
      <c r="AK3" s="2">
        <v>1101.14709472656</v>
      </c>
      <c r="AL3" s="14">
        <v>1077.2157592773401</v>
      </c>
    </row>
    <row r="4" spans="1:38" x14ac:dyDescent="0.3">
      <c r="A4" s="12" t="s">
        <v>7</v>
      </c>
      <c r="B4" s="13" t="s">
        <v>51</v>
      </c>
      <c r="C4" s="1" t="s">
        <v>1</v>
      </c>
      <c r="D4" s="1">
        <v>0.59625844811870898</v>
      </c>
      <c r="E4" s="1">
        <f t="shared" si="0"/>
        <v>0.88611698447254972</v>
      </c>
      <c r="F4" s="3">
        <v>56341.502658578174</v>
      </c>
      <c r="G4" s="2">
        <v>71051.539020894605</v>
      </c>
      <c r="H4" s="2">
        <v>58108.646316621438</v>
      </c>
      <c r="I4" s="2">
        <f t="shared" si="3"/>
        <v>61833.895998698077</v>
      </c>
      <c r="J4" s="2">
        <f t="shared" si="1"/>
        <v>8.7809406465792144</v>
      </c>
      <c r="K4" s="2">
        <v>54792.065460555597</v>
      </c>
      <c r="L4" s="2">
        <f t="shared" si="2"/>
        <v>0.65590982827479616</v>
      </c>
      <c r="M4" s="2">
        <v>72569.869503873662</v>
      </c>
      <c r="N4" s="2">
        <v>55814.553110347137</v>
      </c>
      <c r="O4" s="2">
        <v>63972.772356726666</v>
      </c>
      <c r="P4" s="3">
        <v>906.14629492040422</v>
      </c>
      <c r="Q4" s="2">
        <v>719.03565881633983</v>
      </c>
      <c r="R4" s="2">
        <v>774.89407963320707</v>
      </c>
      <c r="S4" s="2">
        <v>763.8702856670136</v>
      </c>
      <c r="T4" s="2">
        <v>784.50856610623214</v>
      </c>
      <c r="U4" s="2">
        <v>754.00534820265614</v>
      </c>
      <c r="V4" s="2">
        <v>905.187115455862</v>
      </c>
      <c r="W4" s="19">
        <v>1.6083104854542615E-2</v>
      </c>
      <c r="X4" s="20">
        <v>1.0119916735440286E-2</v>
      </c>
      <c r="Y4" s="20">
        <v>1.3335262972931377E-2</v>
      </c>
      <c r="Z4" s="20">
        <v>1.3941257356266633E-2</v>
      </c>
      <c r="AA4" s="20">
        <v>1.0810389648893559E-2</v>
      </c>
      <c r="AB4" s="20">
        <v>1.3509117357115871E-2</v>
      </c>
      <c r="AC4" s="20">
        <v>1.4149568357118145E-2</v>
      </c>
      <c r="AD4" s="3">
        <v>1123.5876057942701</v>
      </c>
      <c r="AE4" s="2">
        <v>1403.7884114583301</v>
      </c>
      <c r="AF4" s="2">
        <v>1118.1516927083301</v>
      </c>
      <c r="AG4" s="2">
        <v>1503.9243977864601</v>
      </c>
      <c r="AH4" s="2">
        <v>1137.82678222656</v>
      </c>
      <c r="AI4" s="2">
        <v>1099.0626627604199</v>
      </c>
      <c r="AJ4" s="2">
        <v>1994.66040039062</v>
      </c>
      <c r="AK4" s="2">
        <v>1022.28794352214</v>
      </c>
      <c r="AL4" s="14">
        <v>1117.76525878906</v>
      </c>
    </row>
    <row r="5" spans="1:38" x14ac:dyDescent="0.3">
      <c r="A5" s="12" t="s">
        <v>4</v>
      </c>
      <c r="B5" s="13" t="s">
        <v>51</v>
      </c>
      <c r="C5" s="1" t="s">
        <v>1</v>
      </c>
      <c r="D5" s="1">
        <v>0.60711998138538303</v>
      </c>
      <c r="E5" s="1">
        <f t="shared" si="0"/>
        <v>0.89818101390863014</v>
      </c>
      <c r="F5" s="3">
        <v>56475.796387987401</v>
      </c>
      <c r="G5" s="2">
        <v>65268.544817740265</v>
      </c>
      <c r="H5" s="2">
        <v>53540.76624696541</v>
      </c>
      <c r="I5" s="2">
        <f t="shared" si="3"/>
        <v>58428.369150897692</v>
      </c>
      <c r="J5" s="2">
        <f t="shared" si="1"/>
        <v>9.8213509914803563</v>
      </c>
      <c r="K5" s="2">
        <v>52479.251844981016</v>
      </c>
      <c r="L5" s="2">
        <f t="shared" si="2"/>
        <v>0.91283506131841663</v>
      </c>
      <c r="M5" s="2">
        <v>64945.556710854369</v>
      </c>
      <c r="N5" s="2">
        <v>51305.398454827024</v>
      </c>
      <c r="O5" s="2">
        <v>58256.902665788723</v>
      </c>
      <c r="P5" s="3">
        <v>761.37497888565179</v>
      </c>
      <c r="Q5" s="2">
        <v>616.73802587426781</v>
      </c>
      <c r="R5" s="2">
        <v>588.15363528558328</v>
      </c>
      <c r="S5" s="2">
        <v>637.58475514568045</v>
      </c>
      <c r="T5" s="2">
        <v>605.11493201987309</v>
      </c>
      <c r="U5" s="2">
        <v>500.01623769287664</v>
      </c>
      <c r="V5" s="2">
        <v>635.89150329483698</v>
      </c>
      <c r="W5" s="19">
        <v>1.3481438555642907E-2</v>
      </c>
      <c r="X5" s="20">
        <v>9.449238183515252E-3</v>
      </c>
      <c r="Y5" s="20">
        <v>1.0985155359425187E-2</v>
      </c>
      <c r="Z5" s="20">
        <v>1.2149272955129933E-2</v>
      </c>
      <c r="AA5" s="20">
        <v>9.3172645314893426E-3</v>
      </c>
      <c r="AB5" s="20">
        <v>9.7458796296675688E-3</v>
      </c>
      <c r="AC5" s="20">
        <v>1.0915298860683565E-2</v>
      </c>
      <c r="AD5" s="3">
        <v>1217.892578125</v>
      </c>
      <c r="AE5" s="2">
        <v>1345.766796875</v>
      </c>
      <c r="AF5" s="2">
        <v>1196.4628662109401</v>
      </c>
      <c r="AG5" s="2">
        <v>1563.50993652344</v>
      </c>
      <c r="AH5" s="2">
        <v>1186.6189453125</v>
      </c>
      <c r="AI5" s="2">
        <v>1271.51066894531</v>
      </c>
      <c r="AJ5" s="2">
        <v>2066.0191894531199</v>
      </c>
      <c r="AK5" s="2">
        <v>1105.85595703125</v>
      </c>
      <c r="AL5" s="14">
        <v>1091.6556152343801</v>
      </c>
    </row>
    <row r="6" spans="1:38" x14ac:dyDescent="0.3">
      <c r="A6" s="12" t="s">
        <v>6</v>
      </c>
      <c r="B6" s="13" t="s">
        <v>51</v>
      </c>
      <c r="C6" s="1" t="s">
        <v>1</v>
      </c>
      <c r="D6" s="1">
        <v>0.60365686207174396</v>
      </c>
      <c r="E6" s="1">
        <f t="shared" si="0"/>
        <v>0.90008867763583233</v>
      </c>
      <c r="F6" s="3">
        <v>58067.29347620318</v>
      </c>
      <c r="G6" s="2">
        <v>68902.218872642756</v>
      </c>
      <c r="H6" s="2">
        <v>55186.519712088826</v>
      </c>
      <c r="I6" s="2">
        <f t="shared" si="3"/>
        <v>60718.677353644918</v>
      </c>
      <c r="J6" s="2">
        <f t="shared" si="1"/>
        <v>10.00887563428588</v>
      </c>
      <c r="K6" s="2">
        <v>54652.194007039012</v>
      </c>
      <c r="L6" s="2">
        <f t="shared" si="2"/>
        <v>0.81164756943476668</v>
      </c>
      <c r="M6" s="2">
        <v>68192.960004217777</v>
      </c>
      <c r="N6" s="2">
        <v>54599.072448028921</v>
      </c>
      <c r="O6" s="2">
        <v>60392.911779998081</v>
      </c>
      <c r="P6" s="3">
        <v>729.39836600598835</v>
      </c>
      <c r="Q6" s="2">
        <v>659.11697619097663</v>
      </c>
      <c r="R6" s="2">
        <v>573.39712523505</v>
      </c>
      <c r="S6" s="2">
        <v>817.88891221534004</v>
      </c>
      <c r="T6" s="2">
        <v>637.1800219201258</v>
      </c>
      <c r="U6" s="2">
        <v>602.72970975999601</v>
      </c>
      <c r="V6" s="2">
        <v>747.97320118822063</v>
      </c>
      <c r="W6" s="19">
        <v>1.2561259916563984E-2</v>
      </c>
      <c r="X6" s="20">
        <v>9.565976059628398E-3</v>
      </c>
      <c r="Y6" s="20">
        <v>1.0390166443299832E-2</v>
      </c>
      <c r="Z6" s="20">
        <v>1.496534452230772E-2</v>
      </c>
      <c r="AA6" s="20">
        <v>9.3437800893335001E-3</v>
      </c>
      <c r="AB6" s="20">
        <v>1.1039193208524097E-2</v>
      </c>
      <c r="AC6" s="20">
        <v>1.2385115722072978E-2</v>
      </c>
      <c r="AD6" s="3">
        <v>1199.4331461588499</v>
      </c>
      <c r="AE6" s="2">
        <v>1317.8906656900999</v>
      </c>
      <c r="AF6" s="2">
        <v>1161.93493652344</v>
      </c>
      <c r="AG6" s="2">
        <v>1521.1438395182299</v>
      </c>
      <c r="AH6" s="2">
        <v>1135.59252929688</v>
      </c>
      <c r="AI6" s="2">
        <v>1218.7630208333301</v>
      </c>
      <c r="AJ6" s="2">
        <v>2014.4889729817701</v>
      </c>
      <c r="AK6" s="2">
        <v>1090.07385253906</v>
      </c>
      <c r="AL6" s="14">
        <v>1102.7904866536501</v>
      </c>
    </row>
    <row r="7" spans="1:38" x14ac:dyDescent="0.3">
      <c r="A7" s="12" t="s">
        <v>2</v>
      </c>
      <c r="B7" s="13" t="s">
        <v>51</v>
      </c>
      <c r="C7" s="1" t="s">
        <v>1</v>
      </c>
      <c r="D7" s="1">
        <v>0.60095310187399598</v>
      </c>
      <c r="E7" s="1">
        <f t="shared" si="0"/>
        <v>0.92879369301273562</v>
      </c>
      <c r="F7" s="3">
        <v>57298.638654396098</v>
      </c>
      <c r="G7" s="2">
        <v>70663.200627827959</v>
      </c>
      <c r="H7" s="2">
        <v>56848.831084998172</v>
      </c>
      <c r="I7" s="2">
        <f t="shared" si="3"/>
        <v>61603.556789074071</v>
      </c>
      <c r="J7" s="2">
        <f t="shared" si="1"/>
        <v>14.043699811294172</v>
      </c>
      <c r="K7" s="2">
        <v>57216.995012843887</v>
      </c>
      <c r="L7" s="2">
        <f t="shared" si="2"/>
        <v>0.59549764035644448</v>
      </c>
      <c r="M7" s="2">
        <v>68969.768641071569</v>
      </c>
      <c r="N7" s="2">
        <v>49599.379858728287</v>
      </c>
      <c r="O7" s="2">
        <v>64178.275866070733</v>
      </c>
      <c r="P7" s="3">
        <v>889.16170112649468</v>
      </c>
      <c r="Q7" s="2">
        <v>613.21596560310581</v>
      </c>
      <c r="R7" s="2">
        <v>906.3545841206851</v>
      </c>
      <c r="S7" s="2">
        <v>796.83312092208575</v>
      </c>
      <c r="T7" s="2">
        <v>842.63827810046246</v>
      </c>
      <c r="U7" s="2">
        <v>719.38067283074554</v>
      </c>
      <c r="V7" s="2">
        <v>852.65196737782242</v>
      </c>
      <c r="W7" s="19">
        <v>1.5518024895662612E-2</v>
      </c>
      <c r="X7" s="20">
        <v>8.6780100555141643E-3</v>
      </c>
      <c r="Y7" s="20">
        <v>1.5943240464619913E-2</v>
      </c>
      <c r="Z7" s="20">
        <v>1.3926511183315643E-2</v>
      </c>
      <c r="AA7" s="20">
        <v>1.2217501880942522E-2</v>
      </c>
      <c r="AB7" s="20">
        <v>1.4503823936503351E-2</v>
      </c>
      <c r="AC7" s="20">
        <v>1.3285678929068827E-2</v>
      </c>
      <c r="AD7" s="3">
        <v>1242.41870117188</v>
      </c>
      <c r="AE7" s="2">
        <v>1385.09228515625</v>
      </c>
      <c r="AF7" s="2">
        <v>1226.54675292969</v>
      </c>
      <c r="AG7" s="2">
        <v>1606.21032714844</v>
      </c>
      <c r="AH7" s="2">
        <v>1235.37451171875</v>
      </c>
      <c r="AI7" s="2">
        <v>1315.41357421875</v>
      </c>
      <c r="AJ7" s="2">
        <v>2110.06713867188</v>
      </c>
      <c r="AK7" s="2">
        <v>1101.99572753906</v>
      </c>
      <c r="AL7" s="14">
        <v>1085.31127929688</v>
      </c>
    </row>
    <row r="8" spans="1:38" x14ac:dyDescent="0.3">
      <c r="A8" s="12" t="s">
        <v>3</v>
      </c>
      <c r="B8" s="13" t="s">
        <v>51</v>
      </c>
      <c r="C8" s="1" t="s">
        <v>1</v>
      </c>
      <c r="D8" s="1">
        <v>0.59956819617399704</v>
      </c>
      <c r="E8" s="1">
        <f t="shared" si="0"/>
        <v>0.93123594120861863</v>
      </c>
      <c r="F8" s="3">
        <v>56340.152501723918</v>
      </c>
      <c r="G8" s="2">
        <v>69942.167405518936</v>
      </c>
      <c r="H8" s="2">
        <v>56026.585772740335</v>
      </c>
      <c r="I8" s="2">
        <f t="shared" si="3"/>
        <v>60769.63522666107</v>
      </c>
      <c r="J8" s="2">
        <f t="shared" si="1"/>
        <v>14.542480731596019</v>
      </c>
      <c r="K8" s="2">
        <v>56590.868457204146</v>
      </c>
      <c r="L8" s="2">
        <f t="shared" si="2"/>
        <v>0.50436392855561951</v>
      </c>
      <c r="M8" s="2">
        <v>69054.856537835993</v>
      </c>
      <c r="N8" s="2">
        <v>56741.875371924572</v>
      </c>
      <c r="O8" s="2">
        <v>64255.52820126748</v>
      </c>
      <c r="P8" s="3">
        <v>877.15338748407578</v>
      </c>
      <c r="Q8" s="2">
        <v>769.02701396761438</v>
      </c>
      <c r="R8" s="2">
        <v>724.24477378716949</v>
      </c>
      <c r="S8" s="2">
        <v>828.01104740159553</v>
      </c>
      <c r="T8" s="2">
        <v>820.79713261059624</v>
      </c>
      <c r="U8" s="2">
        <v>699.06898237110363</v>
      </c>
      <c r="V8" s="2">
        <v>821.86398175610509</v>
      </c>
      <c r="W8" s="19">
        <v>1.5568885573343742E-2</v>
      </c>
      <c r="X8" s="20">
        <v>1.0995184199952783E-2</v>
      </c>
      <c r="Y8" s="20">
        <v>1.2926805440633326E-2</v>
      </c>
      <c r="Z8" s="20">
        <v>1.4631531022142989E-2</v>
      </c>
      <c r="AA8" s="20">
        <v>1.1886160854752794E-2</v>
      </c>
      <c r="AB8" s="20">
        <v>1.2320159983943663E-2</v>
      </c>
      <c r="AC8" s="20">
        <v>1.2790556777959742E-2</v>
      </c>
      <c r="AD8" s="3">
        <v>1216.77478027344</v>
      </c>
      <c r="AE8" s="2">
        <v>1525.3521118164099</v>
      </c>
      <c r="AF8" s="2">
        <v>1159.8716430664099</v>
      </c>
      <c r="AG8" s="2">
        <v>1583.0986938476599</v>
      </c>
      <c r="AH8" s="2">
        <v>1208.18347167969</v>
      </c>
      <c r="AI8" s="2">
        <v>1174.52893066406</v>
      </c>
      <c r="AJ8" s="2">
        <v>2107.2423095703102</v>
      </c>
      <c r="AK8" s="2">
        <v>1029.6919860839801</v>
      </c>
      <c r="AL8" s="14">
        <v>1140.76123046875</v>
      </c>
    </row>
    <row r="9" spans="1:38" x14ac:dyDescent="0.3">
      <c r="A9" s="12" t="s">
        <v>25</v>
      </c>
      <c r="B9" s="13" t="s">
        <v>56</v>
      </c>
      <c r="C9" s="1" t="s">
        <v>21</v>
      </c>
      <c r="D9" s="1">
        <v>0.63981792547620797</v>
      </c>
      <c r="E9" s="1">
        <f t="shared" si="0"/>
        <v>0.82253478514587819</v>
      </c>
      <c r="F9" s="3">
        <v>71658.924754891894</v>
      </c>
      <c r="G9" s="2">
        <v>73962.987751571462</v>
      </c>
      <c r="H9" s="2">
        <v>70254.517198590402</v>
      </c>
      <c r="I9" s="2">
        <f t="shared" si="3"/>
        <v>71958.809901684581</v>
      </c>
      <c r="J9" s="2">
        <f t="shared" si="1"/>
        <v>5.6349071045951744</v>
      </c>
      <c r="K9" s="2">
        <v>59188.624241835219</v>
      </c>
      <c r="L9" s="2">
        <f t="shared" si="2"/>
        <v>1.5207193898900768</v>
      </c>
      <c r="M9" s="2">
        <v>80356.273460541706</v>
      </c>
      <c r="N9" s="2">
        <v>55716.738949627936</v>
      </c>
      <c r="O9" s="2">
        <v>64042.246359518613</v>
      </c>
      <c r="P9" s="3">
        <v>787.92384512140086</v>
      </c>
      <c r="Q9" s="2">
        <v>776.84380220717344</v>
      </c>
      <c r="R9" s="2">
        <v>825.31584936658044</v>
      </c>
      <c r="S9" s="2">
        <v>671.04082548641657</v>
      </c>
      <c r="T9" s="2">
        <v>709.89450240644942</v>
      </c>
      <c r="U9" s="2">
        <v>483.74588933364123</v>
      </c>
      <c r="V9" s="2">
        <v>637.1038282736273</v>
      </c>
      <c r="W9" s="19">
        <v>1.0995474015504429E-2</v>
      </c>
      <c r="X9" s="20">
        <v>1.0503142528753081E-2</v>
      </c>
      <c r="Y9" s="20">
        <v>1.1747512932636589E-2</v>
      </c>
      <c r="Z9" s="20">
        <v>1.1337327638240947E-2</v>
      </c>
      <c r="AA9" s="20">
        <v>8.8343382767126118E-3</v>
      </c>
      <c r="AB9" s="20">
        <v>8.6822362265491417E-3</v>
      </c>
      <c r="AC9" s="20">
        <v>9.9481805291006063E-3</v>
      </c>
      <c r="AD9" s="3">
        <v>1334.00231933594</v>
      </c>
      <c r="AE9" s="2">
        <v>1519.52819824219</v>
      </c>
      <c r="AF9" s="2">
        <v>1213.171875</v>
      </c>
      <c r="AG9" s="2">
        <v>1760.212890625</v>
      </c>
      <c r="AH9" s="2">
        <v>1063.28100585938</v>
      </c>
      <c r="AI9" s="2">
        <v>918.20733642578102</v>
      </c>
      <c r="AJ9" s="2">
        <v>2004.06469726562</v>
      </c>
      <c r="AK9" s="2">
        <v>1183.72863769531</v>
      </c>
      <c r="AL9" s="14">
        <v>1214.17639160156</v>
      </c>
    </row>
    <row r="10" spans="1:38" x14ac:dyDescent="0.3">
      <c r="A10" s="12" t="s">
        <v>28</v>
      </c>
      <c r="B10" s="13" t="s">
        <v>57</v>
      </c>
      <c r="C10" s="1" t="s">
        <v>21</v>
      </c>
      <c r="D10" s="1">
        <v>0.66372386748984302</v>
      </c>
      <c r="E10" s="1">
        <f t="shared" si="0"/>
        <v>0.84626091666151515</v>
      </c>
      <c r="F10" s="3">
        <v>74153.750368330031</v>
      </c>
      <c r="G10" s="2">
        <v>72048.35270895694</v>
      </c>
      <c r="H10" s="2">
        <v>71659.286542892718</v>
      </c>
      <c r="I10" s="2">
        <f t="shared" si="3"/>
        <v>72620.463206726563</v>
      </c>
      <c r="J10" s="2">
        <f t="shared" si="1"/>
        <v>6.5045268794683544</v>
      </c>
      <c r="K10" s="2">
        <v>61455.859761708256</v>
      </c>
      <c r="L10" s="2">
        <f t="shared" si="2"/>
        <v>1.1504128520158095</v>
      </c>
      <c r="M10" s="2">
        <v>82325.329964304197</v>
      </c>
      <c r="N10" s="2">
        <v>60169.845261662085</v>
      </c>
      <c r="O10" s="2">
        <v>70270.821096424334</v>
      </c>
      <c r="P10" s="3">
        <v>904.776754488346</v>
      </c>
      <c r="Q10" s="2">
        <v>987.69034598093185</v>
      </c>
      <c r="R10" s="2">
        <v>807.16994935435491</v>
      </c>
      <c r="S10" s="2">
        <v>533.12091846976818</v>
      </c>
      <c r="T10" s="2">
        <v>963.0680376848826</v>
      </c>
      <c r="U10" s="2">
        <v>826.80901380969522</v>
      </c>
      <c r="V10" s="2">
        <v>853.59626825982741</v>
      </c>
      <c r="W10" s="19">
        <v>1.2201362034883171E-2</v>
      </c>
      <c r="X10" s="20">
        <v>1.370871517313877E-2</v>
      </c>
      <c r="Y10" s="20">
        <v>1.1263996451753836E-2</v>
      </c>
      <c r="Z10" s="20">
        <v>8.6748590050959411E-3</v>
      </c>
      <c r="AA10" s="20">
        <v>1.1698319801481069E-2</v>
      </c>
      <c r="AB10" s="20">
        <v>1.3741252120794569E-2</v>
      </c>
      <c r="AC10" s="20">
        <v>1.2147236291554616E-2</v>
      </c>
      <c r="AD10" s="3">
        <v>1363.7119140625</v>
      </c>
      <c r="AE10" s="2">
        <v>1538.96459960938</v>
      </c>
      <c r="AF10" s="2">
        <v>1149.12719726562</v>
      </c>
      <c r="AG10" s="2">
        <v>1644.75610351562</v>
      </c>
      <c r="AH10" s="2">
        <v>1101.12512207031</v>
      </c>
      <c r="AI10" s="2">
        <v>898.90057373046898</v>
      </c>
      <c r="AJ10" s="2">
        <v>1849.79406738281</v>
      </c>
      <c r="AK10" s="2">
        <v>1245.72375488281</v>
      </c>
      <c r="AL10" s="14">
        <v>1210.73718261719</v>
      </c>
    </row>
    <row r="11" spans="1:38" x14ac:dyDescent="0.3">
      <c r="A11" s="12" t="s">
        <v>27</v>
      </c>
      <c r="B11" s="13" t="s">
        <v>57</v>
      </c>
      <c r="C11" s="1" t="s">
        <v>21</v>
      </c>
      <c r="D11" s="1">
        <v>0.67566044981605</v>
      </c>
      <c r="E11" s="1">
        <f t="shared" si="0"/>
        <v>0.84998909491233021</v>
      </c>
      <c r="F11" s="3">
        <v>74989.009919427379</v>
      </c>
      <c r="G11" s="2">
        <v>75344.325158898879</v>
      </c>
      <c r="H11" s="2">
        <v>75018.312078546893</v>
      </c>
      <c r="I11" s="2">
        <f t="shared" si="3"/>
        <v>75117.215718957712</v>
      </c>
      <c r="J11" s="2">
        <f t="shared" si="1"/>
        <v>6.6661820313368354</v>
      </c>
      <c r="K11" s="2">
        <v>63848.814201291127</v>
      </c>
      <c r="L11" s="2">
        <f t="shared" si="2"/>
        <v>1.5785961233126762</v>
      </c>
      <c r="M11" s="2">
        <v>82255.457952835684</v>
      </c>
      <c r="N11" s="2">
        <v>60734.702032693727</v>
      </c>
      <c r="O11" s="2">
        <v>68273.655795406259</v>
      </c>
      <c r="P11" s="3">
        <v>808.22840551159402</v>
      </c>
      <c r="Q11" s="2">
        <v>895.32806358538971</v>
      </c>
      <c r="R11" s="2">
        <v>895.48514031787522</v>
      </c>
      <c r="S11" s="2">
        <v>733.68589769770529</v>
      </c>
      <c r="T11" s="2">
        <v>808.09699577329536</v>
      </c>
      <c r="U11" s="2">
        <v>626.70468257903121</v>
      </c>
      <c r="V11" s="2">
        <v>676.26750712094974</v>
      </c>
      <c r="W11" s="19">
        <v>1.0777958081857626E-2</v>
      </c>
      <c r="X11" s="20">
        <v>1.1883151938744825E-2</v>
      </c>
      <c r="Y11" s="20">
        <v>1.1936887347988713E-2</v>
      </c>
      <c r="Z11" s="20">
        <v>1.1490987058658154E-2</v>
      </c>
      <c r="AA11" s="20">
        <v>9.824235569105319E-3</v>
      </c>
      <c r="AB11" s="20">
        <v>1.0318724906918514E-2</v>
      </c>
      <c r="AC11" s="20">
        <v>9.9052482138572099E-3</v>
      </c>
      <c r="AD11" s="3">
        <v>1449.5224609375</v>
      </c>
      <c r="AE11" s="2">
        <v>1609.8755493164099</v>
      </c>
      <c r="AF11" s="2">
        <v>1203.0524291992199</v>
      </c>
      <c r="AG11" s="2">
        <v>1757.7188110351599</v>
      </c>
      <c r="AH11" s="2">
        <v>1228.7013549804699</v>
      </c>
      <c r="AI11" s="2">
        <v>926.98068237304699</v>
      </c>
      <c r="AJ11" s="2">
        <v>1873.4579467773401</v>
      </c>
      <c r="AK11" s="2">
        <v>1252.15002441406</v>
      </c>
      <c r="AL11" s="14">
        <v>1274.2787475585901</v>
      </c>
    </row>
    <row r="12" spans="1:38" x14ac:dyDescent="0.3">
      <c r="A12" s="12" t="s">
        <v>26</v>
      </c>
      <c r="B12" s="13" t="s">
        <v>57</v>
      </c>
      <c r="C12" s="1" t="s">
        <v>21</v>
      </c>
      <c r="D12" s="1">
        <v>0.67442739889275605</v>
      </c>
      <c r="E12" s="1">
        <f t="shared" si="0"/>
        <v>0.86219643605777829</v>
      </c>
      <c r="F12" s="3">
        <v>74252.779353727179</v>
      </c>
      <c r="G12" s="2">
        <v>73374.260157762998</v>
      </c>
      <c r="H12" s="2">
        <v>76173.726004111464</v>
      </c>
      <c r="I12" s="2">
        <f t="shared" si="3"/>
        <v>74600.255171867218</v>
      </c>
      <c r="J12" s="2">
        <f t="shared" si="1"/>
        <v>7.2567063680535897</v>
      </c>
      <c r="K12" s="2">
        <v>64320.074138184762</v>
      </c>
      <c r="L12" s="2">
        <f t="shared" si="2"/>
        <v>1.564427376906862</v>
      </c>
      <c r="M12" s="2">
        <v>81171.465306279541</v>
      </c>
      <c r="N12" s="2">
        <v>59106.830574572414</v>
      </c>
      <c r="O12" s="2">
        <v>67045.835770143007</v>
      </c>
      <c r="P12" s="3">
        <v>1010.804952872933</v>
      </c>
      <c r="Q12" s="2">
        <v>871.48900242345792</v>
      </c>
      <c r="R12" s="2">
        <v>807.58364848172312</v>
      </c>
      <c r="S12" s="2">
        <v>819.91581267517438</v>
      </c>
      <c r="T12" s="2">
        <v>607.08361050808139</v>
      </c>
      <c r="U12" s="2">
        <v>888.41908938081997</v>
      </c>
      <c r="V12" s="2">
        <v>759.02468968546964</v>
      </c>
      <c r="W12" s="19">
        <v>1.3613025150986417E-2</v>
      </c>
      <c r="X12" s="20">
        <v>1.187731229656909E-2</v>
      </c>
      <c r="Y12" s="20">
        <v>1.0601866166270164E-2</v>
      </c>
      <c r="Z12" s="20">
        <v>1.2747432643091696E-2</v>
      </c>
      <c r="AA12" s="20">
        <v>7.4790273677752192E-3</v>
      </c>
      <c r="AB12" s="20">
        <v>1.5030734700957138E-2</v>
      </c>
      <c r="AC12" s="20">
        <v>1.1320981847219811E-2</v>
      </c>
      <c r="AD12" s="3">
        <v>1527.53308105469</v>
      </c>
      <c r="AE12" s="2">
        <v>1650.91284179688</v>
      </c>
      <c r="AF12" s="2">
        <v>1192.81030273438</v>
      </c>
      <c r="AG12" s="2">
        <v>1738.04077148438</v>
      </c>
      <c r="AH12" s="2">
        <v>1305.75598144531</v>
      </c>
      <c r="AI12" s="2">
        <v>931.15863037109398</v>
      </c>
      <c r="AJ12" s="2">
        <v>1794.20776367188</v>
      </c>
      <c r="AK12" s="2">
        <v>1290.1630859375</v>
      </c>
      <c r="AL12" s="14">
        <v>1320.51440429688</v>
      </c>
    </row>
    <row r="13" spans="1:38" x14ac:dyDescent="0.3">
      <c r="A13" s="12" t="s">
        <v>29</v>
      </c>
      <c r="B13" s="13" t="s">
        <v>57</v>
      </c>
      <c r="C13" s="1" t="s">
        <v>21</v>
      </c>
      <c r="D13" s="1">
        <v>0.65561019642377505</v>
      </c>
      <c r="E13" s="1">
        <f t="shared" si="0"/>
        <v>0.87023038897933047</v>
      </c>
      <c r="F13" s="3">
        <v>70066.923534608199</v>
      </c>
      <c r="G13" s="2">
        <v>70926.04932925661</v>
      </c>
      <c r="H13" s="2">
        <v>69529.952800374565</v>
      </c>
      <c r="I13" s="2">
        <f t="shared" si="3"/>
        <v>70174.308554746458</v>
      </c>
      <c r="J13" s="2">
        <f t="shared" si="1"/>
        <v>7.7059643789848558</v>
      </c>
      <c r="K13" s="2">
        <v>61067.815829952568</v>
      </c>
      <c r="L13" s="2">
        <f t="shared" si="2"/>
        <v>1.3400583565484077</v>
      </c>
      <c r="M13" s="2">
        <v>76969.90270204129</v>
      </c>
      <c r="N13" s="2">
        <v>62818.414717070264</v>
      </c>
      <c r="O13" s="2">
        <v>65731.718887426978</v>
      </c>
      <c r="P13" s="3">
        <v>940.27579329581079</v>
      </c>
      <c r="Q13" s="2">
        <v>711.08426456346535</v>
      </c>
      <c r="R13" s="2">
        <v>1072.7282503472909</v>
      </c>
      <c r="S13" s="2">
        <v>882.23139358408173</v>
      </c>
      <c r="T13" s="2">
        <v>768.49627766587048</v>
      </c>
      <c r="U13" s="2">
        <v>724.99503672827598</v>
      </c>
      <c r="V13" s="2">
        <v>953.15907933379947</v>
      </c>
      <c r="W13" s="19">
        <v>1.3419681439722123E-2</v>
      </c>
      <c r="X13" s="20">
        <v>1.0025713701639193E-2</v>
      </c>
      <c r="Y13" s="20">
        <v>1.5428289638383186E-2</v>
      </c>
      <c r="Z13" s="20">
        <v>1.4446748775831679E-2</v>
      </c>
      <c r="AA13" s="20">
        <v>9.9843737706256635E-3</v>
      </c>
      <c r="AB13" s="20">
        <v>1.154112277416746E-2</v>
      </c>
      <c r="AC13" s="20">
        <v>1.4500747819575393E-2</v>
      </c>
      <c r="AD13" s="3">
        <v>1406.33752441406</v>
      </c>
      <c r="AE13" s="2">
        <v>1572.8187866210901</v>
      </c>
      <c r="AF13" s="2">
        <v>1100.1963500976599</v>
      </c>
      <c r="AG13" s="2">
        <v>1536.66870117188</v>
      </c>
      <c r="AH13" s="2">
        <v>1186.08703613281</v>
      </c>
      <c r="AI13" s="2">
        <v>882.982177734375</v>
      </c>
      <c r="AJ13" s="2">
        <v>1747.1338500976599</v>
      </c>
      <c r="AK13" s="2">
        <v>1211.0552368164099</v>
      </c>
      <c r="AL13" s="14">
        <v>1230.92590332031</v>
      </c>
    </row>
    <row r="14" spans="1:38" x14ac:dyDescent="0.3">
      <c r="A14" s="12" t="s">
        <v>30</v>
      </c>
      <c r="B14" s="23" t="s">
        <v>57</v>
      </c>
      <c r="C14" s="24" t="s">
        <v>21</v>
      </c>
      <c r="D14" s="24">
        <v>0.67615227710144998</v>
      </c>
      <c r="E14" s="1">
        <f t="shared" si="0"/>
        <v>0.96017051771732687</v>
      </c>
      <c r="F14" s="3">
        <v>73026.809775882983</v>
      </c>
      <c r="G14" s="15">
        <v>73952.206613283066</v>
      </c>
      <c r="H14" s="15">
        <v>68484.956993802742</v>
      </c>
      <c r="I14" s="2">
        <f t="shared" si="3"/>
        <v>71821.324460989606</v>
      </c>
      <c r="J14" s="2">
        <f t="shared" si="1"/>
        <v>25.107029835409762</v>
      </c>
      <c r="K14" s="15">
        <v>68960.718290852499</v>
      </c>
      <c r="L14" s="2">
        <f t="shared" si="2"/>
        <v>0.38263705005869969</v>
      </c>
      <c r="M14" s="15">
        <v>79297.354734843815</v>
      </c>
      <c r="N14" s="15">
        <v>66697.759742643626</v>
      </c>
      <c r="O14" s="15">
        <v>67402.639495236974</v>
      </c>
      <c r="P14" s="3">
        <v>858.80785782323073</v>
      </c>
      <c r="Q14" s="15">
        <v>896.15454101803516</v>
      </c>
      <c r="R14" s="15">
        <v>774.65209985946365</v>
      </c>
      <c r="S14" s="15">
        <v>735.45856975079869</v>
      </c>
      <c r="T14" s="15">
        <v>731.37013266522979</v>
      </c>
      <c r="U14" s="15">
        <v>788.53543802846048</v>
      </c>
      <c r="V14" s="15">
        <v>708.70055001749449</v>
      </c>
      <c r="W14" s="19">
        <v>1.1760172195100477E-2</v>
      </c>
      <c r="X14" s="25">
        <v>1.2118023005104903E-2</v>
      </c>
      <c r="Y14" s="25">
        <v>1.1311273801771717E-2</v>
      </c>
      <c r="Z14" s="25">
        <v>1.0664891375534814E-2</v>
      </c>
      <c r="AA14" s="25">
        <v>9.2231340517070319E-3</v>
      </c>
      <c r="AB14" s="25">
        <v>1.1822517593860134E-2</v>
      </c>
      <c r="AC14" s="25">
        <v>1.0514433193192308E-2</v>
      </c>
      <c r="AD14" s="3">
        <v>1336.28405761719</v>
      </c>
      <c r="AE14" s="15">
        <v>1548.65185546875</v>
      </c>
      <c r="AF14" s="15">
        <v>1106.65832519531</v>
      </c>
      <c r="AG14" s="15">
        <v>1367.99426269531</v>
      </c>
      <c r="AH14" s="15">
        <v>1116.22863769531</v>
      </c>
      <c r="AI14" s="15">
        <v>909.95715332031205</v>
      </c>
      <c r="AJ14" s="15">
        <v>1622.15808105469</v>
      </c>
      <c r="AK14" s="15">
        <v>1253.09155273438</v>
      </c>
      <c r="AL14" s="14">
        <v>1170.22961425781</v>
      </c>
    </row>
    <row r="15" spans="1:38" x14ac:dyDescent="0.3">
      <c r="A15" s="12" t="s">
        <v>31</v>
      </c>
      <c r="B15" s="13" t="s">
        <v>57</v>
      </c>
      <c r="C15" s="1" t="s">
        <v>21</v>
      </c>
      <c r="D15" s="1">
        <v>0.65607823241737695</v>
      </c>
      <c r="E15" s="1">
        <f t="shared" si="0"/>
        <v>0.96879431777685532</v>
      </c>
      <c r="F15" s="3">
        <v>69286.675129170399</v>
      </c>
      <c r="G15" s="2">
        <v>72621.258911230267</v>
      </c>
      <c r="H15" s="2">
        <v>64023.751983988885</v>
      </c>
      <c r="I15" s="2">
        <f t="shared" si="3"/>
        <v>68643.895341463183</v>
      </c>
      <c r="J15" s="2">
        <f t="shared" si="1"/>
        <v>32.045445853393964</v>
      </c>
      <c r="K15" s="2">
        <v>66501.815756878685</v>
      </c>
      <c r="L15" s="2">
        <f t="shared" si="2"/>
        <v>0.34841631099176251</v>
      </c>
      <c r="M15" s="2">
        <v>74791.941563774351</v>
      </c>
      <c r="N15" s="2">
        <v>62794.144869124109</v>
      </c>
      <c r="O15" s="2">
        <v>65343.475212817299</v>
      </c>
      <c r="P15" s="3">
        <v>657.48689390052778</v>
      </c>
      <c r="Q15" s="2">
        <v>795.580848727015</v>
      </c>
      <c r="R15" s="2">
        <v>862.21969474285595</v>
      </c>
      <c r="S15" s="2">
        <v>977.9292123833485</v>
      </c>
      <c r="T15" s="2">
        <v>597.26001792493469</v>
      </c>
      <c r="U15" s="2">
        <v>838.95268100954024</v>
      </c>
      <c r="V15" s="2">
        <v>679.77937687649603</v>
      </c>
      <c r="W15" s="19">
        <v>9.4893699643514729E-3</v>
      </c>
      <c r="X15" s="20">
        <v>1.0955205963855649E-2</v>
      </c>
      <c r="Y15" s="20">
        <v>1.3467184724795269E-2</v>
      </c>
      <c r="Z15" s="20">
        <v>1.4705300919278965E-2</v>
      </c>
      <c r="AA15" s="20">
        <v>7.9856199135525437E-3</v>
      </c>
      <c r="AB15" s="20">
        <v>1.3360364772194763E-2</v>
      </c>
      <c r="AC15" s="20">
        <v>1.0403171466814723E-2</v>
      </c>
      <c r="AD15" s="3">
        <v>1279.42138671875</v>
      </c>
      <c r="AE15" s="2">
        <v>1527.86743164062</v>
      </c>
      <c r="AF15" s="2">
        <v>1022.35656738281</v>
      </c>
      <c r="AG15" s="2">
        <v>1336.93359375</v>
      </c>
      <c r="AH15" s="2">
        <v>1110.20776367188</v>
      </c>
      <c r="AI15" s="2">
        <v>841.3017578125</v>
      </c>
      <c r="AJ15" s="2">
        <v>1504.81176757812</v>
      </c>
      <c r="AK15" s="2">
        <v>1126.31616210938</v>
      </c>
      <c r="AL15" s="14">
        <v>1102.33679199219</v>
      </c>
    </row>
    <row r="16" spans="1:38" x14ac:dyDescent="0.3">
      <c r="A16" s="12" t="s">
        <v>33</v>
      </c>
      <c r="B16" s="23" t="s">
        <v>58</v>
      </c>
      <c r="C16" s="24" t="s">
        <v>21</v>
      </c>
      <c r="D16" s="24">
        <v>0.671990058653406</v>
      </c>
      <c r="E16" s="1">
        <f t="shared" si="0"/>
        <v>0.95818573696162945</v>
      </c>
      <c r="F16" s="3">
        <v>71375.846705411692</v>
      </c>
      <c r="G16" s="15">
        <v>74408.286271723395</v>
      </c>
      <c r="H16" s="15">
        <v>67666.639273285502</v>
      </c>
      <c r="I16" s="2">
        <f t="shared" si="3"/>
        <v>71150.257416806868</v>
      </c>
      <c r="J16" s="2">
        <f t="shared" si="1"/>
        <v>23.915284578430956</v>
      </c>
      <c r="K16" s="15">
        <v>68175.161837932726</v>
      </c>
      <c r="L16" s="2">
        <f t="shared" si="2"/>
        <v>0.43681139354458187</v>
      </c>
      <c r="M16" s="15">
        <v>77961.19601145343</v>
      </c>
      <c r="N16" s="15">
        <v>63487.157042647093</v>
      </c>
      <c r="O16" s="15">
        <v>69713.530020403239</v>
      </c>
      <c r="P16" s="3">
        <v>658.40479502860569</v>
      </c>
      <c r="Q16" s="15">
        <v>653.53339365251713</v>
      </c>
      <c r="R16" s="15">
        <v>774.01638396652822</v>
      </c>
      <c r="S16" s="15">
        <v>633.13508372247554</v>
      </c>
      <c r="T16" s="15">
        <v>427.97348175789199</v>
      </c>
      <c r="U16" s="15">
        <v>479.98836808059889</v>
      </c>
      <c r="V16" s="15">
        <v>801.40217691779878</v>
      </c>
      <c r="W16" s="19">
        <v>9.2244761417125953E-3</v>
      </c>
      <c r="X16" s="25">
        <v>8.7830727785605869E-3</v>
      </c>
      <c r="Y16" s="25">
        <v>1.1438670403601773E-2</v>
      </c>
      <c r="Z16" s="25">
        <v>9.2868878731461775E-3</v>
      </c>
      <c r="AA16" s="25">
        <v>5.4895704998550506E-3</v>
      </c>
      <c r="AB16" s="25">
        <v>7.5604010391923798E-3</v>
      </c>
      <c r="AC16" s="25">
        <v>1.1495647640899125E-2</v>
      </c>
      <c r="AD16" s="3">
        <v>1258.49340820312</v>
      </c>
      <c r="AE16" s="15">
        <v>1490.759765625</v>
      </c>
      <c r="AF16" s="15">
        <v>1003.89831542969</v>
      </c>
      <c r="AG16" s="15">
        <v>1281.03198242188</v>
      </c>
      <c r="AH16" s="15">
        <v>1088.77258300781</v>
      </c>
      <c r="AI16" s="15">
        <v>825.06884765625</v>
      </c>
      <c r="AJ16" s="15">
        <v>1466.05236816406</v>
      </c>
      <c r="AK16" s="15">
        <v>1073.93078613281</v>
      </c>
      <c r="AL16" s="14">
        <v>1085.58349609375</v>
      </c>
    </row>
    <row r="17" spans="1:38" x14ac:dyDescent="0.3">
      <c r="A17" s="12" t="s">
        <v>32</v>
      </c>
      <c r="B17" s="13" t="s">
        <v>58</v>
      </c>
      <c r="C17" s="1" t="s">
        <v>21</v>
      </c>
      <c r="D17" s="1">
        <v>0.68635156863123303</v>
      </c>
      <c r="E17" s="1">
        <f t="shared" si="0"/>
        <v>0.95928904000020132</v>
      </c>
      <c r="F17" s="3">
        <v>70445.235251750972</v>
      </c>
      <c r="G17" s="2">
        <v>71258.599980177343</v>
      </c>
      <c r="H17" s="2">
        <v>67476.67051032788</v>
      </c>
      <c r="I17" s="2">
        <f t="shared" si="3"/>
        <v>69726.835247418741</v>
      </c>
      <c r="J17" s="2">
        <f t="shared" si="1"/>
        <v>24.563409951643138</v>
      </c>
      <c r="K17" s="2">
        <v>66888.188846748526</v>
      </c>
      <c r="L17" s="2">
        <f t="shared" si="2"/>
        <v>0.29525002154523466</v>
      </c>
      <c r="M17" s="2">
        <v>79341.216935906821</v>
      </c>
      <c r="N17" s="2">
        <v>65348.080814561414</v>
      </c>
      <c r="O17" s="2">
        <v>67689.415964210988</v>
      </c>
      <c r="P17" s="3">
        <v>571.00819586783791</v>
      </c>
      <c r="Q17" s="2">
        <v>647.65342398950122</v>
      </c>
      <c r="R17" s="2">
        <v>503.63101894878815</v>
      </c>
      <c r="S17" s="2">
        <v>622.53118907860585</v>
      </c>
      <c r="T17" s="2">
        <v>530.61617072186982</v>
      </c>
      <c r="U17" s="2">
        <v>485.11613203737454</v>
      </c>
      <c r="V17" s="2">
        <v>331.89907546874809</v>
      </c>
      <c r="W17" s="19">
        <v>8.1057035841703012E-3</v>
      </c>
      <c r="X17" s="20">
        <v>9.0887755887663364E-3</v>
      </c>
      <c r="Y17" s="20">
        <v>7.4637799277856064E-3</v>
      </c>
      <c r="Z17" s="20">
        <v>9.3070420923628792E-3</v>
      </c>
      <c r="AA17" s="20">
        <v>6.6877745415791969E-3</v>
      </c>
      <c r="AB17" s="20">
        <v>7.4235712203085365E-3</v>
      </c>
      <c r="AC17" s="20">
        <v>4.9032639850849222E-3</v>
      </c>
      <c r="AD17" s="3">
        <v>1376.2490234375</v>
      </c>
      <c r="AE17" s="2">
        <v>1504.82995605469</v>
      </c>
      <c r="AF17" s="2">
        <v>1130.48913574219</v>
      </c>
      <c r="AG17" s="2">
        <v>1359.015625</v>
      </c>
      <c r="AH17" s="2">
        <v>1121.474609375</v>
      </c>
      <c r="AI17" s="2">
        <v>918.33612060546898</v>
      </c>
      <c r="AJ17" s="2">
        <v>1615.88110351562</v>
      </c>
      <c r="AK17" s="2">
        <v>1176.95837402344</v>
      </c>
      <c r="AL17" s="14">
        <v>1215.59924316406</v>
      </c>
    </row>
    <row r="18" spans="1:38" x14ac:dyDescent="0.3">
      <c r="A18" s="12" t="s">
        <v>17</v>
      </c>
      <c r="B18" s="13" t="s">
        <v>53</v>
      </c>
      <c r="C18" s="1" t="s">
        <v>1</v>
      </c>
      <c r="D18" s="1">
        <v>0.61045579323313603</v>
      </c>
      <c r="E18" s="1">
        <f t="shared" si="0"/>
        <v>0.84470398882847086</v>
      </c>
      <c r="F18" s="3">
        <v>61579.776661430835</v>
      </c>
      <c r="G18" s="2">
        <v>69383.901443656854</v>
      </c>
      <c r="H18" s="2">
        <v>62761.961001195246</v>
      </c>
      <c r="I18" s="2">
        <f t="shared" si="3"/>
        <v>64575.213035427645</v>
      </c>
      <c r="J18" s="2">
        <f t="shared" si="1"/>
        <v>6.4393154238550894</v>
      </c>
      <c r="K18" s="2">
        <v>54546.940030473997</v>
      </c>
      <c r="L18" s="2">
        <f t="shared" si="2"/>
        <v>1.6485587540623932</v>
      </c>
      <c r="M18" s="2">
        <v>70658.267691648958</v>
      </c>
      <c r="N18" s="2">
        <v>54005.272707409778</v>
      </c>
      <c r="O18" s="2">
        <v>63611.205294619424</v>
      </c>
      <c r="P18" s="3">
        <v>977.15290734799453</v>
      </c>
      <c r="Q18" s="2">
        <v>699.41463518365185</v>
      </c>
      <c r="R18" s="2">
        <v>635.85785789011004</v>
      </c>
      <c r="S18" s="2">
        <v>604.48180480432222</v>
      </c>
      <c r="T18" s="2">
        <v>696.25979928771483</v>
      </c>
      <c r="U18" s="2">
        <v>786.8913449033073</v>
      </c>
      <c r="V18" s="2" t="s">
        <v>49</v>
      </c>
      <c r="W18" s="19">
        <v>1.5868081378736361E-2</v>
      </c>
      <c r="X18" s="20">
        <v>1.0080358997275629E-2</v>
      </c>
      <c r="Y18" s="20">
        <v>1.0131261798496077E-2</v>
      </c>
      <c r="Z18" s="20">
        <v>1.1081864619108121E-2</v>
      </c>
      <c r="AA18" s="20">
        <v>9.8539041790010537E-3</v>
      </c>
      <c r="AB18" s="20">
        <v>1.4570639225664758E-2</v>
      </c>
      <c r="AC18" s="20" t="s">
        <v>49</v>
      </c>
      <c r="AD18" s="3">
        <v>1048.43603515625</v>
      </c>
      <c r="AE18" s="2">
        <v>1414.3113403320301</v>
      </c>
      <c r="AF18" s="2">
        <v>1038.5244750976599</v>
      </c>
      <c r="AG18" s="2">
        <v>1527.25024414062</v>
      </c>
      <c r="AH18" s="2">
        <v>891.021484375</v>
      </c>
      <c r="AI18" s="2">
        <v>857.54510498046898</v>
      </c>
      <c r="AJ18" s="2">
        <v>2018.07153320312</v>
      </c>
      <c r="AK18" s="2">
        <v>1046.5280151367199</v>
      </c>
      <c r="AL18" s="14">
        <v>1233.40881347656</v>
      </c>
    </row>
    <row r="19" spans="1:38" x14ac:dyDescent="0.3">
      <c r="A19" s="12" t="s">
        <v>16</v>
      </c>
      <c r="B19" s="13" t="s">
        <v>53</v>
      </c>
      <c r="C19" s="1" t="s">
        <v>1</v>
      </c>
      <c r="D19" s="1">
        <v>0.59621913666595905</v>
      </c>
      <c r="E19" s="1">
        <f t="shared" si="0"/>
        <v>0.860709492819966</v>
      </c>
      <c r="F19" s="3">
        <v>54678.197988507396</v>
      </c>
      <c r="G19" s="2">
        <v>67099.803911256458</v>
      </c>
      <c r="H19" s="2">
        <v>60704.939221936627</v>
      </c>
      <c r="I19" s="2">
        <f t="shared" si="3"/>
        <v>60827.64704056683</v>
      </c>
      <c r="J19" s="2">
        <f t="shared" si="1"/>
        <v>7.1792401380769828</v>
      </c>
      <c r="K19" s="2">
        <v>52354.933233718184</v>
      </c>
      <c r="L19" s="2">
        <f t="shared" si="2"/>
        <v>1.1779848935542954</v>
      </c>
      <c r="M19" s="2">
        <v>68020.195818747001</v>
      </c>
      <c r="N19" s="2">
        <v>53170.652987906433</v>
      </c>
      <c r="O19" s="2">
        <v>61087.498933087292</v>
      </c>
      <c r="P19" s="3">
        <v>683.46676792776259</v>
      </c>
      <c r="Q19" s="2">
        <v>567.33709904410705</v>
      </c>
      <c r="R19" s="2">
        <v>725.62252417367949</v>
      </c>
      <c r="S19" s="2">
        <v>701.9418532693328</v>
      </c>
      <c r="T19" s="2">
        <v>614.09881383984145</v>
      </c>
      <c r="U19" s="2">
        <v>689.34929298785642</v>
      </c>
      <c r="V19" s="2">
        <v>740.33093300017822</v>
      </c>
      <c r="W19" s="19">
        <v>1.2499804182855805E-2</v>
      </c>
      <c r="X19" s="20">
        <v>8.4551230551201707E-3</v>
      </c>
      <c r="Y19" s="20">
        <v>1.1953269922910409E-2</v>
      </c>
      <c r="Z19" s="20">
        <v>1.3407367938677089E-2</v>
      </c>
      <c r="AA19" s="20">
        <v>9.0281835629557258E-3</v>
      </c>
      <c r="AB19" s="20">
        <v>1.2964845347012151E-2</v>
      </c>
      <c r="AC19" s="20">
        <v>1.2119188801805521E-2</v>
      </c>
      <c r="AD19" s="3">
        <v>1024.3284149169899</v>
      </c>
      <c r="AE19" s="2">
        <v>1410.3326721191399</v>
      </c>
      <c r="AF19" s="2">
        <v>1025.53395080566</v>
      </c>
      <c r="AG19" s="2">
        <v>1556.70300292969</v>
      </c>
      <c r="AH19" s="2">
        <v>883.48204040527298</v>
      </c>
      <c r="AI19" s="2">
        <v>839.43724060058605</v>
      </c>
      <c r="AJ19" s="2">
        <v>1971.1138305664099</v>
      </c>
      <c r="AK19" s="2">
        <v>1049.27563476562</v>
      </c>
      <c r="AL19" s="14">
        <v>1194.87927246094</v>
      </c>
    </row>
    <row r="20" spans="1:38" x14ac:dyDescent="0.3">
      <c r="A20" s="12" t="s">
        <v>15</v>
      </c>
      <c r="B20" s="13" t="s">
        <v>53</v>
      </c>
      <c r="C20" s="1" t="s">
        <v>1</v>
      </c>
      <c r="D20" s="1">
        <v>0.61044922598011697</v>
      </c>
      <c r="E20" s="1">
        <f t="shared" si="0"/>
        <v>0.88121338061287302</v>
      </c>
      <c r="F20" s="3">
        <v>59001.28575118976</v>
      </c>
      <c r="G20" s="2">
        <v>67373.134857567784</v>
      </c>
      <c r="H20" s="2">
        <v>62335.246458333822</v>
      </c>
      <c r="I20" s="2">
        <f t="shared" si="3"/>
        <v>62903.222355697122</v>
      </c>
      <c r="J20" s="2">
        <f t="shared" si="1"/>
        <v>8.4184566002420524</v>
      </c>
      <c r="K20" s="2">
        <v>55431.161223507108</v>
      </c>
      <c r="L20" s="2">
        <f t="shared" si="2"/>
        <v>0.93919215933735467</v>
      </c>
      <c r="M20" s="2">
        <v>70859.060847217232</v>
      </c>
      <c r="N20" s="2">
        <v>55494.726511145833</v>
      </c>
      <c r="O20" s="2">
        <v>63162.732885209167</v>
      </c>
      <c r="P20" s="3">
        <v>869.76604312556117</v>
      </c>
      <c r="Q20" s="2">
        <v>670.09275965741801</v>
      </c>
      <c r="R20" s="2">
        <v>712.41684890067086</v>
      </c>
      <c r="S20" s="2">
        <v>670.41649798735739</v>
      </c>
      <c r="T20" s="2">
        <v>840.54659718203038</v>
      </c>
      <c r="U20" s="2">
        <v>564.50204577934267</v>
      </c>
      <c r="V20" s="2">
        <v>849.9530116631945</v>
      </c>
      <c r="W20" s="19">
        <v>1.4741476089070183E-2</v>
      </c>
      <c r="X20" s="20">
        <v>9.9459934746104345E-3</v>
      </c>
      <c r="Y20" s="20">
        <v>1.1428796537715866E-2</v>
      </c>
      <c r="Z20" s="20">
        <v>1.2094577908698922E-2</v>
      </c>
      <c r="AA20" s="20">
        <v>1.1862231691080059E-2</v>
      </c>
      <c r="AB20" s="20">
        <v>1.0172174569883957E-2</v>
      </c>
      <c r="AC20" s="20">
        <v>1.3456558524911897E-2</v>
      </c>
      <c r="AD20" s="3">
        <v>985.94189453125</v>
      </c>
      <c r="AE20" s="2">
        <v>1308.7773844400999</v>
      </c>
      <c r="AF20" s="2">
        <v>995.57326253255201</v>
      </c>
      <c r="AG20" s="2">
        <v>1384.55554199219</v>
      </c>
      <c r="AH20" s="2">
        <v>885.71384684244799</v>
      </c>
      <c r="AI20" s="2">
        <v>760.04052734375</v>
      </c>
      <c r="AJ20" s="2">
        <v>1932.6660563150999</v>
      </c>
      <c r="AK20" s="2">
        <v>1065.9757486979199</v>
      </c>
      <c r="AL20" s="14">
        <v>1199.47631835938</v>
      </c>
    </row>
    <row r="21" spans="1:38" x14ac:dyDescent="0.3">
      <c r="A21" s="12" t="s">
        <v>13</v>
      </c>
      <c r="B21" s="13" t="s">
        <v>52</v>
      </c>
      <c r="C21" s="1" t="s">
        <v>1</v>
      </c>
      <c r="D21" s="1">
        <v>0.59077808908863705</v>
      </c>
      <c r="E21" s="1">
        <f t="shared" si="0"/>
        <v>0.84921818965874585</v>
      </c>
      <c r="F21" s="3">
        <v>56990.132591541034</v>
      </c>
      <c r="G21" s="2">
        <v>69972.07241375155</v>
      </c>
      <c r="H21" s="2">
        <v>55420.808948885082</v>
      </c>
      <c r="I21" s="2">
        <f t="shared" si="3"/>
        <v>60794.337984725891</v>
      </c>
      <c r="J21" s="2">
        <f t="shared" si="1"/>
        <v>6.6320997057719895</v>
      </c>
      <c r="K21" s="2">
        <v>51627.657644890845</v>
      </c>
      <c r="L21" s="2">
        <f t="shared" si="2"/>
        <v>1.0471360650877848</v>
      </c>
      <c r="M21" s="2">
        <v>69548.386904878949</v>
      </c>
      <c r="N21" s="2">
        <v>54821.057689218382</v>
      </c>
      <c r="O21" s="2">
        <v>61863.93900447405</v>
      </c>
      <c r="P21" s="3">
        <v>867.53411297084483</v>
      </c>
      <c r="Q21" s="2">
        <v>634.53908734281606</v>
      </c>
      <c r="R21" s="2">
        <v>872.47352406170273</v>
      </c>
      <c r="S21" s="2">
        <v>681.01936774799822</v>
      </c>
      <c r="T21" s="2">
        <v>658.91169399780836</v>
      </c>
      <c r="U21" s="2">
        <v>757.92755118966761</v>
      </c>
      <c r="V21" s="2">
        <v>840.1226449989673</v>
      </c>
      <c r="W21" s="19">
        <v>1.5222531928265977E-2</v>
      </c>
      <c r="X21" s="20">
        <v>9.0684621085784876E-3</v>
      </c>
      <c r="Y21" s="20">
        <v>1.5742706405934816E-2</v>
      </c>
      <c r="Z21" s="20">
        <v>1.3190979386131282E-2</v>
      </c>
      <c r="AA21" s="20">
        <v>9.4741477598754269E-3</v>
      </c>
      <c r="AB21" s="20">
        <v>1.3825482089133947E-2</v>
      </c>
      <c r="AC21" s="20">
        <v>1.3580167356272108E-2</v>
      </c>
      <c r="AD21" s="3">
        <v>830.645263671875</v>
      </c>
      <c r="AE21" s="2">
        <v>1467.75634765625</v>
      </c>
      <c r="AF21" s="2">
        <v>999.41912841796898</v>
      </c>
      <c r="AG21" s="2">
        <v>1574.09326171875</v>
      </c>
      <c r="AH21" s="2">
        <v>984.35809326171898</v>
      </c>
      <c r="AI21" s="2">
        <v>786.09606933593795</v>
      </c>
      <c r="AJ21" s="2">
        <v>1983.06066894531</v>
      </c>
      <c r="AK21" s="2">
        <v>1056.91638183594</v>
      </c>
      <c r="AL21" s="14">
        <v>1235.09130859375</v>
      </c>
    </row>
    <row r="22" spans="1:38" x14ac:dyDescent="0.3">
      <c r="A22" s="12" t="s">
        <v>14</v>
      </c>
      <c r="B22" s="13" t="s">
        <v>52</v>
      </c>
      <c r="C22" s="1" t="s">
        <v>1</v>
      </c>
      <c r="D22" s="1">
        <v>0.596092176054834</v>
      </c>
      <c r="E22" s="1">
        <f t="shared" si="0"/>
        <v>0.85118612075709543</v>
      </c>
      <c r="F22" s="3">
        <v>58748.604637258482</v>
      </c>
      <c r="G22" s="2">
        <v>65897.030430939732</v>
      </c>
      <c r="H22" s="2">
        <v>57443.396265284224</v>
      </c>
      <c r="I22" s="2">
        <f t="shared" si="3"/>
        <v>60696.343777827482</v>
      </c>
      <c r="J22" s="2">
        <f t="shared" si="1"/>
        <v>6.7198033213537105</v>
      </c>
      <c r="K22" s="2">
        <v>51663.885404388042</v>
      </c>
      <c r="L22" s="2">
        <f t="shared" si="2"/>
        <v>0.99240517553531482</v>
      </c>
      <c r="M22" s="2">
        <v>69797.927078788431</v>
      </c>
      <c r="N22" s="2">
        <v>50283.276247607297</v>
      </c>
      <c r="O22" s="2">
        <v>61987.341287063609</v>
      </c>
      <c r="P22" s="3">
        <v>824.40544490789159</v>
      </c>
      <c r="Q22" s="2">
        <v>793.76632662488885</v>
      </c>
      <c r="R22" s="2">
        <v>626.67257840214688</v>
      </c>
      <c r="S22" s="2">
        <v>675.65869250287153</v>
      </c>
      <c r="T22" s="2">
        <v>688.20217663165556</v>
      </c>
      <c r="U22" s="2">
        <v>557.00677479734929</v>
      </c>
      <c r="V22" s="2">
        <v>842.42029561704726</v>
      </c>
      <c r="W22" s="19">
        <v>1.4032766395017526E-2</v>
      </c>
      <c r="X22" s="20">
        <v>1.2045555337379856E-2</v>
      </c>
      <c r="Y22" s="20">
        <v>1.0909392883179419E-2</v>
      </c>
      <c r="Z22" s="20">
        <v>1.3077969014802066E-2</v>
      </c>
      <c r="AA22" s="20">
        <v>9.8599228578064753E-3</v>
      </c>
      <c r="AB22" s="20">
        <v>1.1077376343866499E-2</v>
      </c>
      <c r="AC22" s="20">
        <v>1.3590198871666325E-2</v>
      </c>
      <c r="AD22" s="3">
        <v>951.14013671875</v>
      </c>
      <c r="AE22" s="2">
        <v>1244.54663085938</v>
      </c>
      <c r="AF22" s="2">
        <v>978.66351318359398</v>
      </c>
      <c r="AG22" s="2">
        <v>1259.53344726562</v>
      </c>
      <c r="AH22" s="2">
        <v>888.09420776367199</v>
      </c>
      <c r="AI22" s="2">
        <v>707.49826049804699</v>
      </c>
      <c r="AJ22" s="2">
        <v>1880.3510131835901</v>
      </c>
      <c r="AK22" s="2">
        <v>1058.5578002929699</v>
      </c>
      <c r="AL22" s="14">
        <v>1173.6475219726599</v>
      </c>
    </row>
    <row r="23" spans="1:38" x14ac:dyDescent="0.3">
      <c r="A23" s="12" t="s">
        <v>11</v>
      </c>
      <c r="B23" s="13" t="s">
        <v>52</v>
      </c>
      <c r="C23" s="1" t="s">
        <v>1</v>
      </c>
      <c r="D23" s="1">
        <v>0.59813011749824896</v>
      </c>
      <c r="E23" s="1">
        <f t="shared" si="0"/>
        <v>0.85734314442282999</v>
      </c>
      <c r="F23" s="3">
        <v>56513.719075467801</v>
      </c>
      <c r="G23" s="2">
        <v>66047.928390558955</v>
      </c>
      <c r="H23" s="2">
        <v>59158.416378603761</v>
      </c>
      <c r="I23" s="2">
        <f t="shared" si="3"/>
        <v>60573.354614876844</v>
      </c>
      <c r="J23" s="2">
        <f t="shared" si="1"/>
        <v>7.0098278554797622</v>
      </c>
      <c r="K23" s="2">
        <v>51932.150313757651</v>
      </c>
      <c r="L23" s="2">
        <f t="shared" si="2"/>
        <v>0.84421282530880293</v>
      </c>
      <c r="M23" s="2">
        <v>70809.167246553392</v>
      </c>
      <c r="N23" s="2">
        <v>51903.032629775691</v>
      </c>
      <c r="O23" s="2">
        <v>63031.656481378195</v>
      </c>
      <c r="P23" s="3">
        <v>885.39010899173059</v>
      </c>
      <c r="Q23" s="2">
        <v>722.68528117651499</v>
      </c>
      <c r="R23" s="2">
        <v>780.55764403615956</v>
      </c>
      <c r="S23" s="2">
        <v>799.01406504186798</v>
      </c>
      <c r="T23" s="2">
        <v>677.92427885309553</v>
      </c>
      <c r="U23" s="2">
        <v>737.51469585069481</v>
      </c>
      <c r="V23" s="2">
        <v>917.48971598818503</v>
      </c>
      <c r="W23" s="19">
        <v>1.5666817252097502E-2</v>
      </c>
      <c r="X23" s="20">
        <v>1.0941831163925156E-2</v>
      </c>
      <c r="Y23" s="20">
        <v>1.3194363402845742E-2</v>
      </c>
      <c r="Z23" s="20">
        <v>1.5385730423532962E-2</v>
      </c>
      <c r="AA23" s="20">
        <v>9.5739620336531099E-3</v>
      </c>
      <c r="AB23" s="20">
        <v>1.4209472134535699E-2</v>
      </c>
      <c r="AC23" s="20">
        <v>1.4556014663191412E-2</v>
      </c>
      <c r="AD23" s="3">
        <v>906.74337768554699</v>
      </c>
      <c r="AE23" s="2">
        <v>1303.69506835938</v>
      </c>
      <c r="AF23" s="2">
        <v>981.997802734375</v>
      </c>
      <c r="AG23" s="2">
        <v>1318.1336059570301</v>
      </c>
      <c r="AH23" s="2">
        <v>899.63131713867199</v>
      </c>
      <c r="AI23" s="2">
        <v>719.96493530273403</v>
      </c>
      <c r="AJ23" s="2">
        <v>1904.6848754882801</v>
      </c>
      <c r="AK23" s="2">
        <v>1048.12915039062</v>
      </c>
      <c r="AL23" s="14">
        <v>1173.8739624023401</v>
      </c>
    </row>
    <row r="24" spans="1:38" x14ac:dyDescent="0.3">
      <c r="A24" s="12" t="s">
        <v>9</v>
      </c>
      <c r="B24" s="13" t="s">
        <v>52</v>
      </c>
      <c r="C24" s="1" t="s">
        <v>1</v>
      </c>
      <c r="D24" s="1">
        <v>0.59386454615014705</v>
      </c>
      <c r="E24" s="1">
        <f t="shared" si="0"/>
        <v>0.89654801648791627</v>
      </c>
      <c r="F24" s="3">
        <v>56204.09408731915</v>
      </c>
      <c r="G24" s="2">
        <v>65576.291798994134</v>
      </c>
      <c r="H24" s="2">
        <v>57793.683672746316</v>
      </c>
      <c r="I24" s="2">
        <f t="shared" si="3"/>
        <v>59858.023186353203</v>
      </c>
      <c r="J24" s="2">
        <f t="shared" si="1"/>
        <v>9.6663202197877069</v>
      </c>
      <c r="K24" s="2">
        <v>53665.591958612662</v>
      </c>
      <c r="L24" s="2">
        <f t="shared" si="2"/>
        <v>0.53633245280018427</v>
      </c>
      <c r="M24" s="2">
        <v>71403.905214207276</v>
      </c>
      <c r="N24" s="2">
        <v>53441.084920420806</v>
      </c>
      <c r="O24" s="2">
        <v>63729.448586921892</v>
      </c>
      <c r="P24" s="3">
        <v>776.85933504541674</v>
      </c>
      <c r="Q24" s="2">
        <v>787.96292669866659</v>
      </c>
      <c r="R24" s="2">
        <v>687.38029197344383</v>
      </c>
      <c r="S24" s="2">
        <v>817.99499313599995</v>
      </c>
      <c r="T24" s="2">
        <v>727.36005446271622</v>
      </c>
      <c r="U24" s="2">
        <v>797.4376747927987</v>
      </c>
      <c r="V24" s="2">
        <v>869.66639451241861</v>
      </c>
      <c r="W24" s="19">
        <v>1.3822112920074498E-2</v>
      </c>
      <c r="X24" s="20">
        <v>1.201597261879259E-2</v>
      </c>
      <c r="Y24" s="20">
        <v>1.1893692325716743E-2</v>
      </c>
      <c r="Z24" s="20">
        <v>1.5242447968650831E-2</v>
      </c>
      <c r="AA24" s="20">
        <v>1.0186558456161204E-2</v>
      </c>
      <c r="AB24" s="20">
        <v>1.4921809240592032E-2</v>
      </c>
      <c r="AC24" s="20">
        <v>1.3646224999519067E-2</v>
      </c>
      <c r="AD24" s="3">
        <v>959.80401611328102</v>
      </c>
      <c r="AE24" s="2">
        <v>1342.62048339844</v>
      </c>
      <c r="AF24" s="2">
        <v>1025.9492797851599</v>
      </c>
      <c r="AG24" s="2">
        <v>1389.29418945312</v>
      </c>
      <c r="AH24" s="2">
        <v>993.02134195963504</v>
      </c>
      <c r="AI24" s="2">
        <v>858.53415934244799</v>
      </c>
      <c r="AJ24" s="2">
        <v>1900.9145100911501</v>
      </c>
      <c r="AK24" s="2">
        <v>1037.1073404947899</v>
      </c>
      <c r="AL24" s="14">
        <v>1161.7082926432299</v>
      </c>
    </row>
    <row r="25" spans="1:38" x14ac:dyDescent="0.3">
      <c r="A25" s="12" t="s">
        <v>8</v>
      </c>
      <c r="B25" s="13" t="s">
        <v>52</v>
      </c>
      <c r="C25" s="1" t="s">
        <v>1</v>
      </c>
      <c r="D25" s="1">
        <v>0.60442136006595804</v>
      </c>
      <c r="E25" s="1">
        <f t="shared" si="0"/>
        <v>0.91308681506457989</v>
      </c>
      <c r="F25" s="3">
        <v>58540.016475702541</v>
      </c>
      <c r="G25" s="2">
        <v>67352.129898167608</v>
      </c>
      <c r="H25" s="2">
        <v>58566.151323736376</v>
      </c>
      <c r="I25" s="2">
        <f t="shared" si="3"/>
        <v>61486.099232535511</v>
      </c>
      <c r="J25" s="2">
        <f t="shared" si="1"/>
        <v>11.50573415003764</v>
      </c>
      <c r="K25" s="2">
        <v>56142.14651898056</v>
      </c>
      <c r="L25" s="2">
        <f t="shared" si="2"/>
        <v>0.66595589946921163</v>
      </c>
      <c r="M25" s="2">
        <v>69510.583613279421</v>
      </c>
      <c r="N25" s="2">
        <v>53422.104819974127</v>
      </c>
      <c r="O25" s="2">
        <v>62716.692204459294</v>
      </c>
      <c r="P25" s="3">
        <v>680.69767437226324</v>
      </c>
      <c r="Q25" s="2">
        <v>638.6067541463101</v>
      </c>
      <c r="R25" s="2">
        <v>677.14790980946827</v>
      </c>
      <c r="S25" s="2">
        <v>712.37410643716498</v>
      </c>
      <c r="T25" s="2">
        <v>629.78969305969235</v>
      </c>
      <c r="U25" s="2">
        <v>700.94396402153541</v>
      </c>
      <c r="V25" s="2">
        <v>808.04745735938286</v>
      </c>
      <c r="W25" s="19">
        <v>1.162790370335464E-2</v>
      </c>
      <c r="X25" s="20">
        <v>9.4816118675362659E-3</v>
      </c>
      <c r="Y25" s="20">
        <v>1.1562103612825687E-2</v>
      </c>
      <c r="Z25" s="20">
        <v>1.2688757922647743E-2</v>
      </c>
      <c r="AA25" s="20">
        <v>9.0603424733636719E-3</v>
      </c>
      <c r="AB25" s="20">
        <v>1.3120860108070053E-2</v>
      </c>
      <c r="AC25" s="20">
        <v>1.2884089210654016E-2</v>
      </c>
      <c r="AD25" s="3">
        <v>1059.9424438476599</v>
      </c>
      <c r="AE25" s="2">
        <v>1263.2404174804699</v>
      </c>
      <c r="AF25" s="2">
        <v>1045.80346679688</v>
      </c>
      <c r="AG25" s="2">
        <v>1331.54516601562</v>
      </c>
      <c r="AH25" s="2">
        <v>980.63903808593795</v>
      </c>
      <c r="AI25" s="2">
        <v>892.968017578125</v>
      </c>
      <c r="AJ25" s="2">
        <v>1932.0079956054699</v>
      </c>
      <c r="AK25" s="2">
        <v>1041.72302246094</v>
      </c>
      <c r="AL25" s="14">
        <v>1138.2333984375</v>
      </c>
    </row>
    <row r="26" spans="1:38" x14ac:dyDescent="0.3">
      <c r="A26" s="12" t="s">
        <v>12</v>
      </c>
      <c r="B26" s="13" t="s">
        <v>52</v>
      </c>
      <c r="C26" s="1" t="s">
        <v>1</v>
      </c>
      <c r="D26" s="1">
        <v>0.600432545334872</v>
      </c>
      <c r="E26" s="1">
        <f t="shared" si="0"/>
        <v>0.92698315357663974</v>
      </c>
      <c r="F26" s="3">
        <v>57991.9891191797</v>
      </c>
      <c r="G26" s="2">
        <v>72507.332281318537</v>
      </c>
      <c r="H26" s="2">
        <v>57294.423391634336</v>
      </c>
      <c r="I26" s="2">
        <f t="shared" si="3"/>
        <v>62597.91493071086</v>
      </c>
      <c r="J26" s="2">
        <f t="shared" si="1"/>
        <v>13.695469593439874</v>
      </c>
      <c r="K26" s="2">
        <v>58027.212589792573</v>
      </c>
      <c r="L26" s="2">
        <f t="shared" si="2"/>
        <v>0.40940128562080436</v>
      </c>
      <c r="M26" s="2">
        <v>73762.272497364334</v>
      </c>
      <c r="N26" s="2">
        <v>57650.196098054279</v>
      </c>
      <c r="O26" s="2">
        <v>65927.868013542509</v>
      </c>
      <c r="P26" s="3">
        <v>1016.0725911963319</v>
      </c>
      <c r="Q26" s="2">
        <v>708.01624806541338</v>
      </c>
      <c r="R26" s="2">
        <v>598.4861369309757</v>
      </c>
      <c r="S26" s="2">
        <v>1039.3136625176764</v>
      </c>
      <c r="T26" s="2">
        <v>674.29103919451165</v>
      </c>
      <c r="U26" s="2">
        <v>722.8601273491895</v>
      </c>
      <c r="V26" s="2">
        <v>736.4966736749393</v>
      </c>
      <c r="W26" s="19">
        <v>1.7520912916233908E-2</v>
      </c>
      <c r="X26" s="20">
        <v>9.7647537950838834E-3</v>
      </c>
      <c r="Y26" s="20">
        <v>1.0445800856394721E-2</v>
      </c>
      <c r="Z26" s="20">
        <v>1.7910797643595579E-2</v>
      </c>
      <c r="AA26" s="20">
        <v>9.1414081530447073E-3</v>
      </c>
      <c r="AB26" s="20">
        <v>1.2538727988361281E-2</v>
      </c>
      <c r="AC26" s="20">
        <v>1.1171249668253379E-2</v>
      </c>
      <c r="AD26" s="3">
        <v>848.42083740234398</v>
      </c>
      <c r="AE26" s="2">
        <v>1417.52966308594</v>
      </c>
      <c r="AF26" s="2">
        <v>989.56362915039097</v>
      </c>
      <c r="AG26" s="2">
        <v>1506.70361328125</v>
      </c>
      <c r="AH26" s="2">
        <v>972.73077392578102</v>
      </c>
      <c r="AI26" s="2">
        <v>783.74166870117199</v>
      </c>
      <c r="AJ26" s="2">
        <v>1940.2568969726599</v>
      </c>
      <c r="AK26" s="2">
        <v>1082.24475097656</v>
      </c>
      <c r="AL26" s="14">
        <v>1201.095703125</v>
      </c>
    </row>
    <row r="27" spans="1:38" x14ac:dyDescent="0.3">
      <c r="A27" s="12" t="s">
        <v>10</v>
      </c>
      <c r="B27" s="23" t="s">
        <v>52</v>
      </c>
      <c r="C27" s="24" t="s">
        <v>1</v>
      </c>
      <c r="D27" s="24">
        <v>0.58348634809764299</v>
      </c>
      <c r="E27" s="1">
        <f t="shared" si="0"/>
        <v>0.97158841327715106</v>
      </c>
      <c r="F27" s="3">
        <v>54609.07322192908</v>
      </c>
      <c r="G27" s="15">
        <v>61345.681754592857</v>
      </c>
      <c r="H27" s="15">
        <v>56356.287302595643</v>
      </c>
      <c r="I27" s="2">
        <f t="shared" si="3"/>
        <v>57437.014093039201</v>
      </c>
      <c r="J27" s="2">
        <f t="shared" si="1"/>
        <v>35.196907858574008</v>
      </c>
      <c r="K27" s="15">
        <v>55805.137386033319</v>
      </c>
      <c r="L27" s="2">
        <f t="shared" si="2"/>
        <v>0.16926734288948936</v>
      </c>
      <c r="M27" s="15">
        <v>67077.838360430789</v>
      </c>
      <c r="N27" s="15">
        <v>52362.578576680324</v>
      </c>
      <c r="O27" s="15">
        <v>59700.305386122425</v>
      </c>
      <c r="P27" s="3">
        <v>577.29098472550891</v>
      </c>
      <c r="Q27" s="15">
        <v>702.97195903440468</v>
      </c>
      <c r="R27" s="15">
        <v>611.07041519356949</v>
      </c>
      <c r="S27" s="15">
        <v>762.90200376241387</v>
      </c>
      <c r="T27" s="15">
        <v>802.24952972615995</v>
      </c>
      <c r="U27" s="15">
        <v>614.01221871245775</v>
      </c>
      <c r="V27" s="15">
        <v>732.29362849996971</v>
      </c>
      <c r="W27" s="19">
        <v>1.0571338253249997E-2</v>
      </c>
      <c r="X27" s="25">
        <v>1.1459192219047664E-2</v>
      </c>
      <c r="Y27" s="25">
        <v>1.0842985662141463E-2</v>
      </c>
      <c r="Z27" s="25">
        <v>1.3670820277441873E-2</v>
      </c>
      <c r="AA27" s="25">
        <v>1.1959978874325308E-2</v>
      </c>
      <c r="AB27" s="25">
        <v>1.1726164665731495E-2</v>
      </c>
      <c r="AC27" s="25">
        <v>1.2266162187341077E-2</v>
      </c>
      <c r="AD27" s="3">
        <v>970.11483764648403</v>
      </c>
      <c r="AE27" s="15">
        <v>1239.90905761719</v>
      </c>
      <c r="AF27" s="15">
        <v>991.66229248046898</v>
      </c>
      <c r="AG27" s="15">
        <v>1250.2388305664099</v>
      </c>
      <c r="AH27" s="15">
        <v>914.91610717773403</v>
      </c>
      <c r="AI27" s="15">
        <v>767.00820922851597</v>
      </c>
      <c r="AJ27" s="15">
        <v>1875.27954101562</v>
      </c>
      <c r="AK27" s="15">
        <v>1052.3201293945301</v>
      </c>
      <c r="AL27" s="14">
        <v>1138.73181152344</v>
      </c>
    </row>
    <row r="28" spans="1:38" x14ac:dyDescent="0.3">
      <c r="A28" s="12" t="s">
        <v>18</v>
      </c>
      <c r="B28" s="13" t="s">
        <v>54</v>
      </c>
      <c r="C28" s="1" t="s">
        <v>1</v>
      </c>
      <c r="D28" s="1">
        <v>0.47407600080589801</v>
      </c>
      <c r="E28" s="1">
        <f t="shared" si="0"/>
        <v>0.87359890686648811</v>
      </c>
      <c r="F28" s="3">
        <v>63792.284234495222</v>
      </c>
      <c r="G28" s="2">
        <v>67183.382566406362</v>
      </c>
      <c r="H28" s="2">
        <v>65119.776479191845</v>
      </c>
      <c r="I28" s="2">
        <f t="shared" si="3"/>
        <v>65365.147760031141</v>
      </c>
      <c r="J28" s="2">
        <f t="shared" si="1"/>
        <v>7.9113239862866065</v>
      </c>
      <c r="K28" s="2">
        <v>57102.921630329678</v>
      </c>
      <c r="L28" s="2">
        <f t="shared" si="2"/>
        <v>1.1365810139259487</v>
      </c>
      <c r="M28" s="2">
        <v>72634.516180292092</v>
      </c>
      <c r="N28" s="2">
        <v>58570.645622432829</v>
      </c>
      <c r="O28" s="2">
        <v>64050.645126344774</v>
      </c>
      <c r="P28" s="3">
        <v>1059.7944424509212</v>
      </c>
      <c r="Q28" s="2">
        <v>1039.9551917311301</v>
      </c>
      <c r="R28" s="2">
        <v>874.75903423211696</v>
      </c>
      <c r="S28" s="2">
        <v>773.49140994426125</v>
      </c>
      <c r="T28" s="2">
        <v>1025.9343838236625</v>
      </c>
      <c r="U28" s="2">
        <v>776.82014358178242</v>
      </c>
      <c r="V28" s="2">
        <v>753.41378774142288</v>
      </c>
      <c r="W28" s="19">
        <v>1.661320730505908E-2</v>
      </c>
      <c r="X28" s="20">
        <v>1.5479351470628957E-2</v>
      </c>
      <c r="Y28" s="20">
        <v>1.3433077960757966E-2</v>
      </c>
      <c r="Z28" s="20">
        <v>1.3545566283834916E-2</v>
      </c>
      <c r="AA28" s="20">
        <v>1.4124612343766517E-2</v>
      </c>
      <c r="AB28" s="20">
        <v>1.3262960230785926E-2</v>
      </c>
      <c r="AC28" s="20">
        <v>1.17627821898633E-2</v>
      </c>
      <c r="AD28" s="3">
        <v>1101.5133870442701</v>
      </c>
      <c r="AE28" s="2">
        <v>1443.4503580729199</v>
      </c>
      <c r="AF28" s="2">
        <v>1103.25036621094</v>
      </c>
      <c r="AG28" s="2">
        <v>1550.51220703125</v>
      </c>
      <c r="AH28" s="2">
        <v>933.69840494791697</v>
      </c>
      <c r="AI28" s="2">
        <v>878.24617513020803</v>
      </c>
      <c r="AJ28" s="2">
        <v>2023.0256754557299</v>
      </c>
      <c r="AK28" s="2">
        <v>1112.3567708333301</v>
      </c>
      <c r="AL28" s="14">
        <v>1319.4209391275999</v>
      </c>
    </row>
    <row r="29" spans="1:38" x14ac:dyDescent="0.3">
      <c r="A29" s="12" t="s">
        <v>19</v>
      </c>
      <c r="B29" s="13" t="s">
        <v>54</v>
      </c>
      <c r="C29" s="1" t="s">
        <v>1</v>
      </c>
      <c r="D29" s="1"/>
      <c r="E29" s="1">
        <f t="shared" si="0"/>
        <v>0.91455532020240127</v>
      </c>
      <c r="F29" s="3">
        <v>63312.256875369843</v>
      </c>
      <c r="G29" s="2">
        <v>68732.26040397225</v>
      </c>
      <c r="H29" s="2">
        <v>59843.262042952272</v>
      </c>
      <c r="I29" s="2">
        <f t="shared" si="3"/>
        <v>63962.593107431458</v>
      </c>
      <c r="J29" s="2">
        <f t="shared" si="1"/>
        <v>11.703478816572295</v>
      </c>
      <c r="K29" s="2">
        <v>58497.329820342879</v>
      </c>
      <c r="L29" s="2">
        <f t="shared" si="2"/>
        <v>0.74272861307812932</v>
      </c>
      <c r="M29" s="2">
        <v>71320.951451051209</v>
      </c>
      <c r="N29" s="2">
        <v>53836.263542423527</v>
      </c>
      <c r="O29" s="2">
        <v>63035.35632895388</v>
      </c>
      <c r="P29" s="3">
        <v>1007.6791152150239</v>
      </c>
      <c r="Q29" s="2">
        <v>1104.4208709531827</v>
      </c>
      <c r="R29" s="2">
        <v>926.11601128699601</v>
      </c>
      <c r="S29" s="2">
        <v>941.82320676944198</v>
      </c>
      <c r="T29" s="2">
        <v>800.43439660102126</v>
      </c>
      <c r="U29" s="2">
        <v>819.8407973108051</v>
      </c>
      <c r="V29" s="2">
        <v>827.39672876093061</v>
      </c>
      <c r="W29" s="19">
        <v>1.5916019503121489E-2</v>
      </c>
      <c r="X29" s="20">
        <v>1.6068449727420209E-2</v>
      </c>
      <c r="Y29" s="20">
        <v>1.5475693999138613E-2</v>
      </c>
      <c r="Z29" s="20">
        <v>1.6100276878653629E-2</v>
      </c>
      <c r="AA29" s="20">
        <v>1.1222991004969599E-2</v>
      </c>
      <c r="AB29" s="20">
        <v>1.5228411917271379E-2</v>
      </c>
      <c r="AC29" s="20">
        <v>1.312591499353331E-2</v>
      </c>
      <c r="AD29" s="3">
        <v>1099.24682617188</v>
      </c>
      <c r="AE29" s="2">
        <v>1465.34362792969</v>
      </c>
      <c r="AF29" s="2">
        <v>1091.59936523438</v>
      </c>
      <c r="AG29" s="2">
        <v>1582.73071289062</v>
      </c>
      <c r="AH29" s="2">
        <v>897.83282470703102</v>
      </c>
      <c r="AI29" s="2">
        <v>884.99456787109398</v>
      </c>
      <c r="AJ29" s="2">
        <v>2048.4169921875</v>
      </c>
      <c r="AK29" s="2">
        <v>1125.943359375</v>
      </c>
      <c r="AL29" s="14">
        <v>1283.95617675781</v>
      </c>
    </row>
    <row r="30" spans="1:38" x14ac:dyDescent="0.3">
      <c r="A30" s="12" t="s">
        <v>22</v>
      </c>
      <c r="B30" s="13" t="s">
        <v>55</v>
      </c>
      <c r="C30" s="1" t="s">
        <v>21</v>
      </c>
      <c r="D30" s="1">
        <v>0.67521423039461204</v>
      </c>
      <c r="E30" s="1">
        <f t="shared" si="0"/>
        <v>0.879794400952426</v>
      </c>
      <c r="F30" s="3">
        <v>77476.802492422095</v>
      </c>
      <c r="G30" s="2">
        <v>74128.188928641772</v>
      </c>
      <c r="H30" s="2">
        <v>74695.593582101792</v>
      </c>
      <c r="I30" s="2">
        <f t="shared" si="3"/>
        <v>75433.528334388553</v>
      </c>
      <c r="J30" s="2">
        <f t="shared" si="1"/>
        <v>8.3190800422218967</v>
      </c>
      <c r="K30" s="2">
        <v>66365.995872681233</v>
      </c>
      <c r="L30" s="2">
        <f t="shared" si="2"/>
        <v>2.5974222461543586</v>
      </c>
      <c r="M30" s="2">
        <v>78924.501923735588</v>
      </c>
      <c r="N30" s="2">
        <v>60250.064187951531</v>
      </c>
      <c r="O30" s="2">
        <v>63507.654375611157</v>
      </c>
      <c r="P30" s="3">
        <v>885.4508431136735</v>
      </c>
      <c r="Q30" s="2">
        <v>665.88224802346986</v>
      </c>
      <c r="R30" s="2">
        <v>686.64962473152093</v>
      </c>
      <c r="S30" s="2">
        <v>693.96589640033858</v>
      </c>
      <c r="T30" s="2">
        <v>579.41337207772585</v>
      </c>
      <c r="U30" s="2">
        <v>649.00305089048095</v>
      </c>
      <c r="V30" s="2">
        <v>607.67073592250824</v>
      </c>
      <c r="W30" s="19">
        <v>1.1428593006277955E-2</v>
      </c>
      <c r="X30" s="20">
        <v>8.982847923945235E-3</v>
      </c>
      <c r="Y30" s="20">
        <v>9.1926389737674256E-3</v>
      </c>
      <c r="Z30" s="20">
        <v>1.0456648578462775E-2</v>
      </c>
      <c r="AA30" s="20">
        <v>7.3413624154082154E-3</v>
      </c>
      <c r="AB30" s="20">
        <v>1.0771823393679719E-2</v>
      </c>
      <c r="AC30" s="20">
        <v>9.5684644929331861E-3</v>
      </c>
      <c r="AD30" s="3">
        <v>1350.8710632324201</v>
      </c>
      <c r="AE30" s="2">
        <v>1530.2030944824201</v>
      </c>
      <c r="AF30" s="2">
        <v>1232.3455505371101</v>
      </c>
      <c r="AG30" s="2">
        <v>1680.62316894531</v>
      </c>
      <c r="AH30" s="2">
        <v>1197.01940917969</v>
      </c>
      <c r="AI30" s="2">
        <v>905.62776184081997</v>
      </c>
      <c r="AJ30" s="2">
        <v>1852.4031066894499</v>
      </c>
      <c r="AK30" s="2">
        <v>1276.1451721191399</v>
      </c>
      <c r="AL30" s="14">
        <v>1272.8870239257801</v>
      </c>
    </row>
    <row r="31" spans="1:38" x14ac:dyDescent="0.3">
      <c r="A31" s="12" t="s">
        <v>24</v>
      </c>
      <c r="B31" s="13" t="s">
        <v>55</v>
      </c>
      <c r="C31" s="1" t="s">
        <v>21</v>
      </c>
      <c r="D31" s="1">
        <v>0.66551333083474695</v>
      </c>
      <c r="E31" s="1">
        <f t="shared" si="0"/>
        <v>0.89748852401978463</v>
      </c>
      <c r="F31" s="3">
        <v>74390.479266940005</v>
      </c>
      <c r="G31" s="2">
        <v>72628.390474371088</v>
      </c>
      <c r="H31" s="2">
        <v>74851.876160471438</v>
      </c>
      <c r="I31" s="2">
        <f t="shared" si="3"/>
        <v>73956.915300594177</v>
      </c>
      <c r="J31" s="2">
        <f t="shared" si="1"/>
        <v>9.7550053829387764</v>
      </c>
      <c r="K31" s="2">
        <v>66375.482754186494</v>
      </c>
      <c r="L31" s="2">
        <f t="shared" si="2"/>
        <v>1.6127412752132519</v>
      </c>
      <c r="M31" s="2">
        <v>78657.875499808521</v>
      </c>
      <c r="N31" s="2">
        <v>56876.452261405379</v>
      </c>
      <c r="O31" s="2">
        <v>63019.561180791286</v>
      </c>
      <c r="P31" s="3">
        <v>617.08552984976961</v>
      </c>
      <c r="Q31" s="2">
        <v>715.74663899901179</v>
      </c>
      <c r="R31" s="2">
        <v>797.43536286441611</v>
      </c>
      <c r="S31" s="2">
        <v>685.55633957200484</v>
      </c>
      <c r="T31" s="2">
        <v>1033.8081920414922</v>
      </c>
      <c r="U31" s="2">
        <v>645.50654867875141</v>
      </c>
      <c r="V31" s="2">
        <v>764.75436968961901</v>
      </c>
      <c r="W31" s="19">
        <v>8.2952218607900488E-3</v>
      </c>
      <c r="X31" s="20">
        <v>9.8549153344046989E-3</v>
      </c>
      <c r="Y31" s="20">
        <v>1.0653512026269478E-2</v>
      </c>
      <c r="Z31" s="20">
        <v>1.0328457302689295E-2</v>
      </c>
      <c r="AA31" s="20">
        <v>1.3143098328965278E-2</v>
      </c>
      <c r="AB31" s="20">
        <v>1.134927589562003E-2</v>
      </c>
      <c r="AC31" s="20">
        <v>1.2135190333929529E-2</v>
      </c>
      <c r="AD31" s="3">
        <v>1392.3762613932299</v>
      </c>
      <c r="AE31" s="2">
        <v>1570.8983561197899</v>
      </c>
      <c r="AF31" s="2">
        <v>1222.12854003906</v>
      </c>
      <c r="AG31" s="2">
        <v>1743.73767089844</v>
      </c>
      <c r="AH31" s="2">
        <v>1186.2559407552101</v>
      </c>
      <c r="AI31" s="2">
        <v>926.83024088541697</v>
      </c>
      <c r="AJ31" s="2">
        <v>1887.92358398438</v>
      </c>
      <c r="AK31" s="2">
        <v>1280.7279866536501</v>
      </c>
      <c r="AL31" s="14">
        <v>1254.07202148438</v>
      </c>
    </row>
    <row r="32" spans="1:38" x14ac:dyDescent="0.3">
      <c r="A32" s="12" t="s">
        <v>20</v>
      </c>
      <c r="B32" s="13" t="s">
        <v>55</v>
      </c>
      <c r="C32" s="1" t="s">
        <v>21</v>
      </c>
      <c r="D32" s="1">
        <v>0.67146305872573897</v>
      </c>
      <c r="E32" s="1">
        <f t="shared" si="0"/>
        <v>0.91699055039289001</v>
      </c>
      <c r="F32" s="3">
        <v>75787.305539373046</v>
      </c>
      <c r="G32" s="2">
        <v>70914.017188546452</v>
      </c>
      <c r="H32" s="2">
        <v>72798.573832008202</v>
      </c>
      <c r="I32" s="2">
        <f t="shared" si="3"/>
        <v>73166.632186642571</v>
      </c>
      <c r="J32" s="2">
        <f t="shared" si="1"/>
        <v>12.046821232197976</v>
      </c>
      <c r="K32" s="2">
        <v>67093.110319223517</v>
      </c>
      <c r="L32" s="2">
        <f t="shared" si="2"/>
        <v>1.7348147565080554</v>
      </c>
      <c r="M32" s="2">
        <v>76667.594952052881</v>
      </c>
      <c r="N32" s="2">
        <v>61749.705328280375</v>
      </c>
      <c r="O32" s="2">
        <v>64638.475993591666</v>
      </c>
      <c r="P32" s="3">
        <v>655.8574888952636</v>
      </c>
      <c r="Q32" s="2">
        <v>905.22456771130373</v>
      </c>
      <c r="R32" s="2">
        <v>700.24562255998956</v>
      </c>
      <c r="S32" s="2">
        <v>820.69585518369547</v>
      </c>
      <c r="T32" s="2">
        <v>582.53671638375465</v>
      </c>
      <c r="U32" s="2">
        <v>529.97807468048802</v>
      </c>
      <c r="V32" s="2">
        <v>655.67714060547769</v>
      </c>
      <c r="W32" s="19">
        <v>8.6539227675079735E-3</v>
      </c>
      <c r="X32" s="20">
        <v>1.2765100661333137E-2</v>
      </c>
      <c r="Y32" s="20">
        <v>9.6189469889326924E-3</v>
      </c>
      <c r="Z32" s="20">
        <v>1.2232192713661535E-2</v>
      </c>
      <c r="AA32" s="20">
        <v>7.5982129966130681E-3</v>
      </c>
      <c r="AB32" s="20">
        <v>8.5826818421717473E-3</v>
      </c>
      <c r="AC32" s="20">
        <v>1.0143759278459509E-2</v>
      </c>
      <c r="AD32" s="3">
        <v>1359.1470336914099</v>
      </c>
      <c r="AE32" s="2">
        <v>1475.27673339844</v>
      </c>
      <c r="AF32" s="2">
        <v>1233.6998901367199</v>
      </c>
      <c r="AG32" s="2">
        <v>1597.3666381835901</v>
      </c>
      <c r="AH32" s="2">
        <v>1294.9307250976599</v>
      </c>
      <c r="AI32" s="2">
        <v>954.84060668945301</v>
      </c>
      <c r="AJ32" s="2">
        <v>1738.7326049804699</v>
      </c>
      <c r="AK32" s="2">
        <v>1290.1609497070301</v>
      </c>
      <c r="AL32" s="14">
        <v>1253.0380249023401</v>
      </c>
    </row>
    <row r="33" spans="1:38" x14ac:dyDescent="0.3">
      <c r="A33" s="16" t="s">
        <v>23</v>
      </c>
      <c r="B33" s="17" t="s">
        <v>55</v>
      </c>
      <c r="C33" s="4" t="s">
        <v>21</v>
      </c>
      <c r="D33" s="1">
        <v>0.66791049508331402</v>
      </c>
      <c r="E33" s="1">
        <f t="shared" si="0"/>
        <v>0.92253911214125095</v>
      </c>
      <c r="F33" s="5">
        <v>74530.272110478167</v>
      </c>
      <c r="G33" s="6">
        <v>71417.663663542728</v>
      </c>
      <c r="H33" s="6">
        <v>72766.347980757579</v>
      </c>
      <c r="I33" s="2">
        <f t="shared" si="3"/>
        <v>72904.761251592834</v>
      </c>
      <c r="J33" s="2">
        <f t="shared" si="1"/>
        <v>12.909741001465326</v>
      </c>
      <c r="K33" s="6">
        <v>67257.49371591433</v>
      </c>
      <c r="L33" s="2">
        <f t="shared" si="2"/>
        <v>1.6044274708912221</v>
      </c>
      <c r="M33" s="6">
        <v>76424.563572442887</v>
      </c>
      <c r="N33" s="6">
        <v>60178.881003642848</v>
      </c>
      <c r="O33" s="6">
        <v>64030.473763102746</v>
      </c>
      <c r="P33" s="5">
        <v>865.20637548149114</v>
      </c>
      <c r="Q33" s="6">
        <v>831.7130501384172</v>
      </c>
      <c r="R33" s="6">
        <v>817.1909019249523</v>
      </c>
      <c r="S33" s="6">
        <v>927.17671021571857</v>
      </c>
      <c r="T33" s="6">
        <v>793.97493192803267</v>
      </c>
      <c r="U33" s="6">
        <v>646.5961478847629</v>
      </c>
      <c r="V33" s="6">
        <v>735.67637078041116</v>
      </c>
      <c r="W33" s="21">
        <v>1.1608791313668803E-2</v>
      </c>
      <c r="X33" s="22">
        <v>1.1645761111098765E-2</v>
      </c>
      <c r="Y33" s="22">
        <v>1.1230341010669538E-2</v>
      </c>
      <c r="Z33" s="22">
        <v>1.3785478152545728E-2</v>
      </c>
      <c r="AA33" s="22">
        <v>1.0389001844615355E-2</v>
      </c>
      <c r="AB33" s="22">
        <v>1.0744569142879577E-2</v>
      </c>
      <c r="AC33" s="22">
        <v>1.1489472551807685E-2</v>
      </c>
      <c r="AD33" s="5">
        <v>1440.25451660156</v>
      </c>
      <c r="AE33" s="6">
        <v>1568.0907592773401</v>
      </c>
      <c r="AF33" s="6">
        <v>1211.2203979492199</v>
      </c>
      <c r="AG33" s="6">
        <v>1673.72119140625</v>
      </c>
      <c r="AH33" s="6">
        <v>1322.7543334960901</v>
      </c>
      <c r="AI33" s="6">
        <v>937.66571044921898</v>
      </c>
      <c r="AJ33" s="6">
        <v>1810.5148315429699</v>
      </c>
      <c r="AK33" s="6">
        <v>1260.3898315429699</v>
      </c>
      <c r="AL33" s="18">
        <v>1298.6128540039099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Supp. Mat.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lenovo</cp:lastModifiedBy>
  <dcterms:created xsi:type="dcterms:W3CDTF">2020-01-16T18:51:20Z</dcterms:created>
  <dcterms:modified xsi:type="dcterms:W3CDTF">2026-03-05T15:04:55Z</dcterms:modified>
</cp:coreProperties>
</file>